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TaskList" sheetId="2" r:id="rId1"/>
    <sheet name="Draw" sheetId="1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16" i="3" s="1"/>
  <c r="F16" i="3" s="1"/>
  <c r="E17" i="3" s="1"/>
  <c r="F17" i="3" s="1"/>
  <c r="E13" i="3" l="1"/>
  <c r="F13" i="3" s="1"/>
  <c r="E14" i="3" s="1"/>
  <c r="F14" i="3" s="1"/>
  <c r="E5" i="3"/>
  <c r="F5" i="3" s="1"/>
  <c r="E6" i="3" s="1"/>
  <c r="F6" i="3" s="1"/>
  <c r="E7" i="3" s="1"/>
  <c r="F7" i="3" s="1"/>
  <c r="E8" i="3" s="1"/>
  <c r="F8" i="3" s="1"/>
  <c r="E18" i="3" s="1"/>
  <c r="F18" i="3" s="1"/>
  <c r="E9" i="3"/>
  <c r="F9" i="3" s="1"/>
  <c r="E10" i="3" s="1"/>
  <c r="F10" i="3" s="1"/>
  <c r="E11" i="3" s="1"/>
  <c r="F11" i="3" s="1"/>
  <c r="E12" i="3" s="1"/>
  <c r="F12" i="3" s="1"/>
  <c r="E15" i="3"/>
  <c r="F15" i="3" s="1"/>
</calcChain>
</file>

<file path=xl/sharedStrings.xml><?xml version="1.0" encoding="utf-8"?>
<sst xmlns="http://schemas.openxmlformats.org/spreadsheetml/2006/main" count="43" uniqueCount="43">
  <si>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</si>
  <si>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</si>
  <si>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</si>
  <si>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</si>
  <si>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</si>
  <si>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</si>
  <si>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</si>
  <si>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</si>
  <si>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</si>
  <si>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</si>
  <si>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</si>
  <si>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</si>
  <si>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Numbering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</si>
  <si>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</si>
  <si>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</si>
  <si>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</si>
  <si>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</si>
  <si>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</si>
  <si>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</si>
  <si>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</si>
  <si>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</si>
  <si>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</si>
  <si>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</si>
  <si>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</si>
  <si>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START</t>
  </si>
  <si>
    <t>ゴミ捨て</t>
  </si>
  <si>
    <t>床のモノを片付ける</t>
  </si>
  <si>
    <t>床掃除ロボット実行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</si>
  <si>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</si>
  <si>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</si>
  <si>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</si>
  <si>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</si>
  <si>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</si>
  <si>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</si>
  <si>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</si>
  <si>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</t>
  </si>
  <si>
    <t>洗濯物Aを干す</t>
  </si>
  <si>
    <t>洗濯物B</t>
  </si>
  <si>
    <t>END</t>
  </si>
  <si>
    <t>Duration</t>
    <phoneticPr fontId="1"/>
  </si>
  <si>
    <t>Task List</t>
    <phoneticPr fontId="1"/>
  </si>
  <si>
    <t>Add task names below</t>
    <phoneticPr fontId="1"/>
  </si>
  <si>
    <t>4,8,10,11,13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</si>
</sst>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7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1</xdr:row>
          <xdr:rowOff>66675</xdr:rowOff>
        </xdr:from>
        <xdr:to>
          <xdr:col>3</xdr:col>
          <xdr:colOff>1609725</xdr:colOff>
          <xdr:row>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5</xdr:row>
          <xdr:rowOff>47625</xdr:rowOff>
        </xdr:from>
        <xdr:to>
          <xdr:col>3</xdr:col>
          <xdr:colOff>1609725</xdr:colOff>
          <xdr:row>8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1</xdr:row>
          <xdr:rowOff>47625</xdr:rowOff>
        </xdr:from>
        <xdr:to>
          <xdr:col>4</xdr:col>
          <xdr:colOff>1600200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Numbering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5</xdr:row>
          <xdr:rowOff>19050</xdr:rowOff>
        </xdr:from>
        <xdr:to>
          <xdr:col>4</xdr:col>
          <xdr:colOff>1600200</xdr:colOff>
          <xdr:row>8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DeNumbering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201705</xdr:colOff>
      <xdr:row>27</xdr:row>
      <xdr:rowOff>52294</xdr:rowOff>
    </xdr:from>
    <xdr:to>
      <xdr:col>1</xdr:col>
      <xdr:colOff>963705</xdr:colOff>
      <xdr:row>31</xdr:row>
      <xdr:rowOff>141941</xdr:rowOff>
    </xdr:to>
    <xdr:sp macro="" textlink="">
      <xdr:nvSpPr>
        <xdr:cNvPr id="1104" name="円/楕円 1103"/>
        <xdr:cNvSpPr/>
      </xdr:nvSpPr>
      <xdr:spPr>
        <a:xfrm>
          <a:off x="2140323" y="473635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1942352</xdr:colOff>
      <xdr:row>16</xdr:row>
      <xdr:rowOff>74706</xdr:rowOff>
    </xdr:from>
    <xdr:to>
      <xdr:col>2</xdr:col>
      <xdr:colOff>2704352</xdr:colOff>
      <xdr:row>20</xdr:row>
      <xdr:rowOff>164353</xdr:rowOff>
    </xdr:to>
    <xdr:sp macro="" textlink="">
      <xdr:nvSpPr>
        <xdr:cNvPr id="1105" name="円/楕円 1104"/>
        <xdr:cNvSpPr/>
      </xdr:nvSpPr>
      <xdr:spPr>
        <a:xfrm>
          <a:off x="5696323" y="290979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</a:p>
      </xdr:txBody>
    </xdr:sp>
    <xdr:clientData/>
  </xdr:twoCellAnchor>
  <xdr:twoCellAnchor>
    <xdr:from>
      <xdr:col>2</xdr:col>
      <xdr:colOff>2831352</xdr:colOff>
      <xdr:row>16</xdr:row>
      <xdr:rowOff>74706</xdr:rowOff>
    </xdr:from>
    <xdr:to>
      <xdr:col>3</xdr:col>
      <xdr:colOff>85911</xdr:colOff>
      <xdr:row>20</xdr:row>
      <xdr:rowOff>164353</xdr:rowOff>
    </xdr:to>
    <xdr:sp macro="" textlink="">
      <xdr:nvSpPr>
        <xdr:cNvPr id="1106" name="円/楕円 1105"/>
        <xdr:cNvSpPr/>
      </xdr:nvSpPr>
      <xdr:spPr>
        <a:xfrm>
          <a:off x="6585323" y="290979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2</xdr:col>
      <xdr:colOff>877793</xdr:colOff>
      <xdr:row>22</xdr:row>
      <xdr:rowOff>74705</xdr:rowOff>
    </xdr:from>
    <xdr:to>
      <xdr:col>2</xdr:col>
      <xdr:colOff>1639793</xdr:colOff>
      <xdr:row>26</xdr:row>
      <xdr:rowOff>164352</xdr:rowOff>
    </xdr:to>
    <xdr:sp macro="" textlink="">
      <xdr:nvSpPr>
        <xdr:cNvPr id="1108" name="円/楕円 1107"/>
        <xdr:cNvSpPr/>
      </xdr:nvSpPr>
      <xdr:spPr>
        <a:xfrm>
          <a:off x="4631764" y="391832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6.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2932206</xdr:colOff>
      <xdr:row>22</xdr:row>
      <xdr:rowOff>63499</xdr:rowOff>
    </xdr:from>
    <xdr:to>
      <xdr:col>3</xdr:col>
      <xdr:colOff>186765</xdr:colOff>
      <xdr:row>26</xdr:row>
      <xdr:rowOff>153146</xdr:rowOff>
    </xdr:to>
    <xdr:sp macro="" textlink="">
      <xdr:nvSpPr>
        <xdr:cNvPr id="1109" name="円/楕円 1108"/>
        <xdr:cNvSpPr/>
      </xdr:nvSpPr>
      <xdr:spPr>
        <a:xfrm>
          <a:off x="6686177" y="3907117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1904999</xdr:colOff>
      <xdr:row>22</xdr:row>
      <xdr:rowOff>41087</xdr:rowOff>
    </xdr:from>
    <xdr:to>
      <xdr:col>2</xdr:col>
      <xdr:colOff>2666999</xdr:colOff>
      <xdr:row>26</xdr:row>
      <xdr:rowOff>130734</xdr:rowOff>
    </xdr:to>
    <xdr:sp macro="" textlink="">
      <xdr:nvSpPr>
        <xdr:cNvPr id="1110" name="円/楕円 1109"/>
        <xdr:cNvSpPr/>
      </xdr:nvSpPr>
      <xdr:spPr>
        <a:xfrm>
          <a:off x="5658970" y="388470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2</xdr:col>
      <xdr:colOff>911411</xdr:colOff>
      <xdr:row>16</xdr:row>
      <xdr:rowOff>85912</xdr:rowOff>
    </xdr:from>
    <xdr:to>
      <xdr:col>2</xdr:col>
      <xdr:colOff>1673411</xdr:colOff>
      <xdr:row>21</xdr:row>
      <xdr:rowOff>7471</xdr:rowOff>
    </xdr:to>
    <xdr:sp macro="" textlink="">
      <xdr:nvSpPr>
        <xdr:cNvPr id="1111" name="円/楕円 1110"/>
        <xdr:cNvSpPr/>
      </xdr:nvSpPr>
      <xdr:spPr>
        <a:xfrm>
          <a:off x="4665382" y="2921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2</xdr:col>
      <xdr:colOff>821764</xdr:colOff>
      <xdr:row>28</xdr:row>
      <xdr:rowOff>108323</xdr:rowOff>
    </xdr:from>
    <xdr:to>
      <xdr:col>2</xdr:col>
      <xdr:colOff>1583764</xdr:colOff>
      <xdr:row>33</xdr:row>
      <xdr:rowOff>29882</xdr:rowOff>
    </xdr:to>
    <xdr:sp macro="" textlink="">
      <xdr:nvSpPr>
        <xdr:cNvPr id="1114" name="円/楕円 1113"/>
        <xdr:cNvSpPr/>
      </xdr:nvSpPr>
      <xdr:spPr>
        <a:xfrm>
          <a:off x="4575735" y="496047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消耗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品発注</a:t>
          </a:r>
        </a:p>
      </xdr:txBody>
    </xdr:sp>
    <xdr:clientData/>
  </xdr:twoCellAnchor>
  <xdr:twoCellAnchor>
    <xdr:from>
      <xdr:col>1</xdr:col>
      <xdr:colOff>1580030</xdr:colOff>
      <xdr:row>22</xdr:row>
      <xdr:rowOff>62005</xdr:rowOff>
    </xdr:from>
    <xdr:to>
      <xdr:col>2</xdr:col>
      <xdr:colOff>526677</xdr:colOff>
      <xdr:row>26</xdr:row>
      <xdr:rowOff>151653</xdr:rowOff>
    </xdr:to>
    <xdr:sp macro="" textlink="">
      <xdr:nvSpPr>
        <xdr:cNvPr id="1107" name="円/楕円 1106"/>
        <xdr:cNvSpPr/>
      </xdr:nvSpPr>
      <xdr:spPr>
        <a:xfrm>
          <a:off x="3518648" y="3905623"/>
          <a:ext cx="762000" cy="76200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衣類の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在庫確認</a:t>
          </a:r>
        </a:p>
      </xdr:txBody>
    </xdr:sp>
    <xdr:clientData/>
  </xdr:twoCellAnchor>
  <xdr:twoCellAnchor>
    <xdr:from>
      <xdr:col>1</xdr:col>
      <xdr:colOff>1580030</xdr:colOff>
      <xdr:row>16</xdr:row>
      <xdr:rowOff>74706</xdr:rowOff>
    </xdr:from>
    <xdr:to>
      <xdr:col>2</xdr:col>
      <xdr:colOff>522755</xdr:colOff>
      <xdr:row>20</xdr:row>
      <xdr:rowOff>164353</xdr:rowOff>
    </xdr:to>
    <xdr:sp macro="" textlink="">
      <xdr:nvSpPr>
        <xdr:cNvPr id="1112" name="円/楕円 1111"/>
        <xdr:cNvSpPr/>
      </xdr:nvSpPr>
      <xdr:spPr>
        <a:xfrm>
          <a:off x="3518648" y="2909794"/>
          <a:ext cx="758078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1</xdr:col>
      <xdr:colOff>1580030</xdr:colOff>
      <xdr:row>28</xdr:row>
      <xdr:rowOff>49306</xdr:rowOff>
    </xdr:from>
    <xdr:to>
      <xdr:col>2</xdr:col>
      <xdr:colOff>523876</xdr:colOff>
      <xdr:row>32</xdr:row>
      <xdr:rowOff>138953</xdr:rowOff>
    </xdr:to>
    <xdr:sp macro="" textlink="">
      <xdr:nvSpPr>
        <xdr:cNvPr id="1113" name="円/楕円 1112"/>
        <xdr:cNvSpPr/>
      </xdr:nvSpPr>
      <xdr:spPr>
        <a:xfrm>
          <a:off x="3518648" y="4901453"/>
          <a:ext cx="759199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チェック</a:t>
          </a:r>
        </a:p>
      </xdr:txBody>
    </xdr:sp>
    <xdr:clientData/>
  </xdr:twoCellAnchor>
  <xdr:twoCellAnchor>
    <xdr:from>
      <xdr:col>1</xdr:col>
      <xdr:colOff>1580030</xdr:colOff>
      <xdr:row>34</xdr:row>
      <xdr:rowOff>36606</xdr:rowOff>
    </xdr:from>
    <xdr:to>
      <xdr:col>2</xdr:col>
      <xdr:colOff>521074</xdr:colOff>
      <xdr:row>38</xdr:row>
      <xdr:rowOff>126253</xdr:rowOff>
    </xdr:to>
    <xdr:sp macro="" textlink="">
      <xdr:nvSpPr>
        <xdr:cNvPr id="1115" name="円/楕円 1114"/>
        <xdr:cNvSpPr/>
      </xdr:nvSpPr>
      <xdr:spPr>
        <a:xfrm>
          <a:off x="3518648" y="5897282"/>
          <a:ext cx="756397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1</xdr:col>
      <xdr:colOff>1580030</xdr:colOff>
      <xdr:row>40</xdr:row>
      <xdr:rowOff>23906</xdr:rowOff>
    </xdr:from>
    <xdr:to>
      <xdr:col>2</xdr:col>
      <xdr:colOff>527237</xdr:colOff>
      <xdr:row>44</xdr:row>
      <xdr:rowOff>113553</xdr:rowOff>
    </xdr:to>
    <xdr:sp macro="" textlink="">
      <xdr:nvSpPr>
        <xdr:cNvPr id="1116" name="円/楕円 1115"/>
        <xdr:cNvSpPr/>
      </xdr:nvSpPr>
      <xdr:spPr>
        <a:xfrm>
          <a:off x="3518648" y="6893112"/>
          <a:ext cx="76256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風呂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2</xdr:col>
      <xdr:colOff>844176</xdr:colOff>
      <xdr:row>40</xdr:row>
      <xdr:rowOff>63500</xdr:rowOff>
    </xdr:from>
    <xdr:to>
      <xdr:col>2</xdr:col>
      <xdr:colOff>1606176</xdr:colOff>
      <xdr:row>44</xdr:row>
      <xdr:rowOff>153147</xdr:rowOff>
    </xdr:to>
    <xdr:sp macro="" textlink="">
      <xdr:nvSpPr>
        <xdr:cNvPr id="1117" name="円/楕円 1116"/>
        <xdr:cNvSpPr/>
      </xdr:nvSpPr>
      <xdr:spPr>
        <a:xfrm>
          <a:off x="4598147" y="6932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トイ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レ掃除</a:t>
          </a:r>
        </a:p>
      </xdr:txBody>
    </xdr:sp>
    <xdr:clientData/>
  </xdr:twoCellAnchor>
  <xdr:twoCellAnchor>
    <xdr:from>
      <xdr:col>3</xdr:col>
      <xdr:colOff>903941</xdr:colOff>
      <xdr:row>29</xdr:row>
      <xdr:rowOff>153147</xdr:rowOff>
    </xdr:from>
    <xdr:to>
      <xdr:col>3</xdr:col>
      <xdr:colOff>1665941</xdr:colOff>
      <xdr:row>34</xdr:row>
      <xdr:rowOff>74706</xdr:rowOff>
    </xdr:to>
    <xdr:sp macro="" textlink="">
      <xdr:nvSpPr>
        <xdr:cNvPr id="1118" name="円/楕円 1117"/>
        <xdr:cNvSpPr/>
      </xdr:nvSpPr>
      <xdr:spPr>
        <a:xfrm>
          <a:off x="8165353" y="5173382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14.EN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963705</xdr:colOff>
      <xdr:row>18</xdr:row>
      <xdr:rowOff>119530</xdr:rowOff>
    </xdr:from>
    <xdr:to>
      <xdr:col>1</xdr:col>
      <xdr:colOff>1580030</xdr:colOff>
      <xdr:row>29</xdr:row>
      <xdr:rowOff>97118</xdr:rowOff>
    </xdr:to>
    <xdr:cxnSp macro="">
      <xdr:nvCxnSpPr>
        <xdr:cNvPr id="1125" name="直線矢印コネクタ 1124"/>
        <xdr:cNvCxnSpPr>
          <a:stCxn id="1104" idx="6"/>
          <a:endCxn id="1112" idx="2"/>
        </xdr:cNvCxnSpPr>
      </xdr:nvCxnSpPr>
      <xdr:spPr>
        <a:xfrm flipV="1">
          <a:off x="2897280" y="3348505"/>
          <a:ext cx="616325" cy="186353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963705</xdr:colOff>
      <xdr:row>24</xdr:row>
      <xdr:rowOff>106829</xdr:rowOff>
    </xdr:from>
    <xdr:to>
      <xdr:col>1</xdr:col>
      <xdr:colOff>1580030</xdr:colOff>
      <xdr:row>29</xdr:row>
      <xdr:rowOff>97118</xdr:rowOff>
    </xdr:to>
    <xdr:cxnSp macro="">
      <xdr:nvCxnSpPr>
        <xdr:cNvPr id="1126" name="直線矢印コネクタ 1125"/>
        <xdr:cNvCxnSpPr>
          <a:stCxn id="1104" idx="6"/>
          <a:endCxn id="1107" idx="2"/>
        </xdr:cNvCxnSpPr>
      </xdr:nvCxnSpPr>
      <xdr:spPr>
        <a:xfrm flipV="1">
          <a:off x="2897280" y="4364504"/>
          <a:ext cx="616325" cy="84753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963705</xdr:colOff>
      <xdr:row>29</xdr:row>
      <xdr:rowOff>97118</xdr:rowOff>
    </xdr:from>
    <xdr:to>
      <xdr:col>1</xdr:col>
      <xdr:colOff>1580030</xdr:colOff>
      <xdr:row>30</xdr:row>
      <xdr:rowOff>94130</xdr:rowOff>
    </xdr:to>
    <xdr:cxnSp macro="">
      <xdr:nvCxnSpPr>
        <xdr:cNvPr id="1127" name="直線矢印コネクタ 1126"/>
        <xdr:cNvCxnSpPr>
          <a:stCxn id="1104" idx="6"/>
          <a:endCxn id="1113" idx="2"/>
        </xdr:cNvCxnSpPr>
      </xdr:nvCxnSpPr>
      <xdr:spPr>
        <a:xfrm>
          <a:off x="2897280" y="5212043"/>
          <a:ext cx="616325" cy="16846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963705</xdr:colOff>
      <xdr:row>29</xdr:row>
      <xdr:rowOff>97118</xdr:rowOff>
    </xdr:from>
    <xdr:to>
      <xdr:col>1</xdr:col>
      <xdr:colOff>1580030</xdr:colOff>
      <xdr:row>36</xdr:row>
      <xdr:rowOff>81430</xdr:rowOff>
    </xdr:to>
    <xdr:cxnSp macro="">
      <xdr:nvCxnSpPr>
        <xdr:cNvPr id="1128" name="直線矢印コネクタ 1127"/>
        <xdr:cNvCxnSpPr>
          <a:stCxn id="1104" idx="6"/>
          <a:endCxn id="1115" idx="2"/>
        </xdr:cNvCxnSpPr>
      </xdr:nvCxnSpPr>
      <xdr:spPr>
        <a:xfrm>
          <a:off x="2897280" y="5212043"/>
          <a:ext cx="616325" cy="118446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963705</xdr:colOff>
      <xdr:row>29</xdr:row>
      <xdr:rowOff>97118</xdr:rowOff>
    </xdr:from>
    <xdr:to>
      <xdr:col>1</xdr:col>
      <xdr:colOff>1580030</xdr:colOff>
      <xdr:row>42</xdr:row>
      <xdr:rowOff>68730</xdr:rowOff>
    </xdr:to>
    <xdr:cxnSp macro="">
      <xdr:nvCxnSpPr>
        <xdr:cNvPr id="1129" name="直線矢印コネクタ 1128"/>
        <xdr:cNvCxnSpPr>
          <a:stCxn id="1104" idx="6"/>
          <a:endCxn id="1116" idx="2"/>
        </xdr:cNvCxnSpPr>
      </xdr:nvCxnSpPr>
      <xdr:spPr>
        <a:xfrm>
          <a:off x="2897280" y="5212043"/>
          <a:ext cx="616325" cy="220046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522755</xdr:colOff>
      <xdr:row>18</xdr:row>
      <xdr:rowOff>119530</xdr:rowOff>
    </xdr:from>
    <xdr:to>
      <xdr:col>2</xdr:col>
      <xdr:colOff>911411</xdr:colOff>
      <xdr:row>18</xdr:row>
      <xdr:rowOff>132417</xdr:rowOff>
    </xdr:to>
    <xdr:cxnSp macro="">
      <xdr:nvCxnSpPr>
        <xdr:cNvPr id="1130" name="直線矢印コネクタ 1129"/>
        <xdr:cNvCxnSpPr>
          <a:stCxn id="1112" idx="6"/>
          <a:endCxn id="1111" idx="2"/>
        </xdr:cNvCxnSpPr>
      </xdr:nvCxnSpPr>
      <xdr:spPr>
        <a:xfrm>
          <a:off x="4275605" y="3348505"/>
          <a:ext cx="388656" cy="1288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1673411</xdr:colOff>
      <xdr:row>18</xdr:row>
      <xdr:rowOff>119530</xdr:rowOff>
    </xdr:from>
    <xdr:to>
      <xdr:col>2</xdr:col>
      <xdr:colOff>1942352</xdr:colOff>
      <xdr:row>18</xdr:row>
      <xdr:rowOff>132417</xdr:rowOff>
    </xdr:to>
    <xdr:cxnSp macro="">
      <xdr:nvCxnSpPr>
        <xdr:cNvPr id="1131" name="直線矢印コネクタ 1130"/>
        <xdr:cNvCxnSpPr>
          <a:stCxn id="1111" idx="6"/>
          <a:endCxn id="1105" idx="2"/>
        </xdr:cNvCxnSpPr>
      </xdr:nvCxnSpPr>
      <xdr:spPr>
        <a:xfrm flipV="1">
          <a:off x="5426261" y="3348505"/>
          <a:ext cx="268941" cy="1288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2704352</xdr:colOff>
      <xdr:row>18</xdr:row>
      <xdr:rowOff>119530</xdr:rowOff>
    </xdr:from>
    <xdr:to>
      <xdr:col>2</xdr:col>
      <xdr:colOff>2831352</xdr:colOff>
      <xdr:row>18</xdr:row>
      <xdr:rowOff>119530</xdr:rowOff>
    </xdr:to>
    <xdr:cxnSp macro="">
      <xdr:nvCxnSpPr>
        <xdr:cNvPr id="1132" name="直線矢印コネクタ 1131"/>
        <xdr:cNvCxnSpPr>
          <a:stCxn id="1105" idx="6"/>
          <a:endCxn id="1106" idx="2"/>
        </xdr:cNvCxnSpPr>
      </xdr:nvCxnSpPr>
      <xdr:spPr>
        <a:xfrm>
          <a:off x="6457202" y="3348505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85911</xdr:colOff>
      <xdr:row>18</xdr:row>
      <xdr:rowOff>119530</xdr:rowOff>
    </xdr:from>
    <xdr:to>
      <xdr:col>3</xdr:col>
      <xdr:colOff>903941</xdr:colOff>
      <xdr:row>32</xdr:row>
      <xdr:rowOff>28202</xdr:rowOff>
    </xdr:to>
    <xdr:cxnSp macro="">
      <xdr:nvCxnSpPr>
        <xdr:cNvPr id="1133" name="直線矢印コネクタ 1132"/>
        <xdr:cNvCxnSpPr>
          <a:stCxn id="1106" idx="6"/>
          <a:endCxn id="1118" idx="2"/>
        </xdr:cNvCxnSpPr>
      </xdr:nvCxnSpPr>
      <xdr:spPr>
        <a:xfrm>
          <a:off x="7343961" y="3348505"/>
          <a:ext cx="818030" cy="230897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526677</xdr:colOff>
      <xdr:row>24</xdr:row>
      <xdr:rowOff>106829</xdr:rowOff>
    </xdr:from>
    <xdr:to>
      <xdr:col>2</xdr:col>
      <xdr:colOff>877793</xdr:colOff>
      <xdr:row>24</xdr:row>
      <xdr:rowOff>119529</xdr:rowOff>
    </xdr:to>
    <xdr:cxnSp macro="">
      <xdr:nvCxnSpPr>
        <xdr:cNvPr id="1134" name="直線矢印コネクタ 1133"/>
        <xdr:cNvCxnSpPr>
          <a:stCxn id="1107" idx="6"/>
          <a:endCxn id="1108" idx="2"/>
        </xdr:cNvCxnSpPr>
      </xdr:nvCxnSpPr>
      <xdr:spPr>
        <a:xfrm>
          <a:off x="4279527" y="4364504"/>
          <a:ext cx="351116" cy="127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1639793</xdr:colOff>
      <xdr:row>24</xdr:row>
      <xdr:rowOff>85911</xdr:rowOff>
    </xdr:from>
    <xdr:to>
      <xdr:col>2</xdr:col>
      <xdr:colOff>1904999</xdr:colOff>
      <xdr:row>24</xdr:row>
      <xdr:rowOff>119529</xdr:rowOff>
    </xdr:to>
    <xdr:cxnSp macro="">
      <xdr:nvCxnSpPr>
        <xdr:cNvPr id="1135" name="直線矢印コネクタ 1134"/>
        <xdr:cNvCxnSpPr>
          <a:stCxn id="1108" idx="6"/>
          <a:endCxn id="1110" idx="2"/>
        </xdr:cNvCxnSpPr>
      </xdr:nvCxnSpPr>
      <xdr:spPr>
        <a:xfrm flipV="1">
          <a:off x="5392643" y="4343586"/>
          <a:ext cx="265206" cy="3361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2666999</xdr:colOff>
      <xdr:row>24</xdr:row>
      <xdr:rowOff>85911</xdr:rowOff>
    </xdr:from>
    <xdr:to>
      <xdr:col>2</xdr:col>
      <xdr:colOff>2932206</xdr:colOff>
      <xdr:row>24</xdr:row>
      <xdr:rowOff>108323</xdr:rowOff>
    </xdr:to>
    <xdr:cxnSp macro="">
      <xdr:nvCxnSpPr>
        <xdr:cNvPr id="1136" name="直線矢印コネクタ 1135"/>
        <xdr:cNvCxnSpPr>
          <a:stCxn id="1110" idx="6"/>
          <a:endCxn id="1109" idx="2"/>
        </xdr:cNvCxnSpPr>
      </xdr:nvCxnSpPr>
      <xdr:spPr>
        <a:xfrm>
          <a:off x="6419849" y="4343586"/>
          <a:ext cx="265207" cy="2241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186765</xdr:colOff>
      <xdr:row>24</xdr:row>
      <xdr:rowOff>108323</xdr:rowOff>
    </xdr:from>
    <xdr:to>
      <xdr:col>3</xdr:col>
      <xdr:colOff>903941</xdr:colOff>
      <xdr:row>32</xdr:row>
      <xdr:rowOff>28202</xdr:rowOff>
    </xdr:to>
    <xdr:cxnSp macro="">
      <xdr:nvCxnSpPr>
        <xdr:cNvPr id="1137" name="直線矢印コネクタ 1136"/>
        <xdr:cNvCxnSpPr>
          <a:stCxn id="1109" idx="6"/>
          <a:endCxn id="1118" idx="2"/>
        </xdr:cNvCxnSpPr>
      </xdr:nvCxnSpPr>
      <xdr:spPr>
        <a:xfrm>
          <a:off x="7444815" y="4365998"/>
          <a:ext cx="717176" cy="129147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523876</xdr:colOff>
      <xdr:row>30</xdr:row>
      <xdr:rowOff>94130</xdr:rowOff>
    </xdr:from>
    <xdr:to>
      <xdr:col>2</xdr:col>
      <xdr:colOff>821764</xdr:colOff>
      <xdr:row>30</xdr:row>
      <xdr:rowOff>154828</xdr:rowOff>
    </xdr:to>
    <xdr:cxnSp macro="">
      <xdr:nvCxnSpPr>
        <xdr:cNvPr id="1138" name="直線矢印コネクタ 1137"/>
        <xdr:cNvCxnSpPr>
          <a:stCxn id="1113" idx="6"/>
          <a:endCxn id="1114" idx="2"/>
        </xdr:cNvCxnSpPr>
      </xdr:nvCxnSpPr>
      <xdr:spPr>
        <a:xfrm>
          <a:off x="4276726" y="5380505"/>
          <a:ext cx="297888" cy="6069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1583764</xdr:colOff>
      <xdr:row>30</xdr:row>
      <xdr:rowOff>154828</xdr:rowOff>
    </xdr:from>
    <xdr:to>
      <xdr:col>3</xdr:col>
      <xdr:colOff>903941</xdr:colOff>
      <xdr:row>32</xdr:row>
      <xdr:rowOff>28202</xdr:rowOff>
    </xdr:to>
    <xdr:cxnSp macro="">
      <xdr:nvCxnSpPr>
        <xdr:cNvPr id="1139" name="直線矢印コネクタ 1138"/>
        <xdr:cNvCxnSpPr>
          <a:stCxn id="1114" idx="6"/>
          <a:endCxn id="1118" idx="2"/>
        </xdr:cNvCxnSpPr>
      </xdr:nvCxnSpPr>
      <xdr:spPr>
        <a:xfrm>
          <a:off x="5336614" y="5441203"/>
          <a:ext cx="2825377" cy="21627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521074</xdr:colOff>
      <xdr:row>32</xdr:row>
      <xdr:rowOff>28202</xdr:rowOff>
    </xdr:from>
    <xdr:to>
      <xdr:col>3</xdr:col>
      <xdr:colOff>903941</xdr:colOff>
      <xdr:row>36</xdr:row>
      <xdr:rowOff>81430</xdr:rowOff>
    </xdr:to>
    <xdr:cxnSp macro="">
      <xdr:nvCxnSpPr>
        <xdr:cNvPr id="1140" name="直線矢印コネクタ 1139"/>
        <xdr:cNvCxnSpPr>
          <a:stCxn id="1115" idx="6"/>
          <a:endCxn id="1118" idx="2"/>
        </xdr:cNvCxnSpPr>
      </xdr:nvCxnSpPr>
      <xdr:spPr>
        <a:xfrm flipV="1">
          <a:off x="4273924" y="5657477"/>
          <a:ext cx="3888067" cy="73902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527237</xdr:colOff>
      <xdr:row>42</xdr:row>
      <xdr:rowOff>68730</xdr:rowOff>
    </xdr:from>
    <xdr:to>
      <xdr:col>2</xdr:col>
      <xdr:colOff>844176</xdr:colOff>
      <xdr:row>42</xdr:row>
      <xdr:rowOff>108324</xdr:rowOff>
    </xdr:to>
    <xdr:cxnSp macro="">
      <xdr:nvCxnSpPr>
        <xdr:cNvPr id="1141" name="直線矢印コネクタ 1140"/>
        <xdr:cNvCxnSpPr>
          <a:stCxn id="1116" idx="6"/>
          <a:endCxn id="1117" idx="2"/>
        </xdr:cNvCxnSpPr>
      </xdr:nvCxnSpPr>
      <xdr:spPr>
        <a:xfrm>
          <a:off x="4280087" y="7412505"/>
          <a:ext cx="316939" cy="3959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1606176</xdr:colOff>
      <xdr:row>32</xdr:row>
      <xdr:rowOff>28202</xdr:rowOff>
    </xdr:from>
    <xdr:to>
      <xdr:col>3</xdr:col>
      <xdr:colOff>903941</xdr:colOff>
      <xdr:row>42</xdr:row>
      <xdr:rowOff>108324</xdr:rowOff>
    </xdr:to>
    <xdr:cxnSp macro="">
      <xdr:nvCxnSpPr>
        <xdr:cNvPr id="1142" name="直線矢印コネクタ 1141"/>
        <xdr:cNvCxnSpPr>
          <a:stCxn id="1117" idx="6"/>
          <a:endCxn id="1118" idx="2"/>
        </xdr:cNvCxnSpPr>
      </xdr:nvCxnSpPr>
      <xdr:spPr>
        <a:xfrm flipV="1">
          <a:off x="5359026" y="5657477"/>
          <a:ext cx="2802965" cy="179462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skListSheet"/>
  <dimension ref="A1:A16"/>
  <sheetViews>
    <sheetView tabSelected="1" workbookViewId="0"/>
  </sheetViews>
  <sheetFormatPr defaultRowHeight="13.5" x14ac:dyDescent="0.15"/>
  <cols>
    <col min="1" max="1" width="50.125" bestFit="1" customWidth="1"/>
  </cols>
  <sheetData>
    <row r="1" spans="1:1" s="2" customFormat="1" ht="42" x14ac:dyDescent="0.15">
      <c r="A1" s="1" t="s">
        <v>40</v>
      </c>
    </row>
    <row r="3" spans="1:1" x14ac:dyDescent="0.15">
      <c r="A3" s="3" t="s">
        <v>41</v>
      </c>
    </row>
    <row r="4" spans="1:1" x14ac:dyDescent="0.15">
      <c r="A4" t="s">
        <v>0</v>
      </c>
    </row>
    <row r="5" spans="1:1" x14ac:dyDescent="0.15">
      <c r="A5" t="s">
        <v>1</v>
      </c>
    </row>
    <row r="6" spans="1:1" x14ac:dyDescent="0.15">
      <c r="A6" t="s">
        <v>2</v>
      </c>
    </row>
    <row r="7" spans="1:1" x14ac:dyDescent="0.15">
      <c r="A7" t="s">
        <v>3</v>
      </c>
    </row>
    <row r="8" spans="1:1" x14ac:dyDescent="0.15">
      <c r="A8" t="s">
        <v>4</v>
      </c>
    </row>
    <row r="9" spans="1:1" x14ac:dyDescent="0.15">
      <c r="A9" t="s">
        <v>5</v>
      </c>
    </row>
    <row r="10" spans="1:1" x14ac:dyDescent="0.15">
      <c r="A10" t="s">
        <v>6</v>
      </c>
    </row>
    <row r="11" spans="1:1" x14ac:dyDescent="0.15">
      <c r="A11" t="s">
        <v>7</v>
      </c>
    </row>
    <row r="12" spans="1:1" x14ac:dyDescent="0.15">
      <c r="A12" t="s">
        <v>15</v>
      </c>
    </row>
    <row r="13" spans="1:1" x14ac:dyDescent="0.15">
      <c r="A13" t="s">
        <v>16</v>
      </c>
    </row>
    <row r="14" spans="1:1" x14ac:dyDescent="0.15">
      <c r="A14" t="s">
        <v>17</v>
      </c>
    </row>
    <row r="15" spans="1:1" x14ac:dyDescent="0.15">
      <c r="A15" t="s">
        <v>13</v>
      </c>
    </row>
    <row r="16" spans="1:1" x14ac:dyDescent="0.15">
      <c r="A16" t="s">
        <v>14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8</v>
      </c>
      <c r="B1" s="7" t="s">
        <v>9</v>
      </c>
      <c r="C1" s="7" t="s">
        <v>10</v>
      </c>
      <c r="D1" s="7" t="s">
        <v>11</v>
      </c>
      <c r="E1" s="7" t="s">
        <v>12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3</xdr:col>
                    <xdr:colOff>180975</xdr:colOff>
                    <xdr:row>1</xdr:row>
                    <xdr:rowOff>66675</xdr:rowOff>
                  </from>
                  <to>
                    <xdr:col>3</xdr:col>
                    <xdr:colOff>1609725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3</xdr:col>
                    <xdr:colOff>180975</xdr:colOff>
                    <xdr:row>5</xdr:row>
                    <xdr:rowOff>47625</xdr:rowOff>
                  </from>
                  <to>
                    <xdr:col>3</xdr:col>
                    <xdr:colOff>1609725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4</xdr:col>
                    <xdr:colOff>161925</xdr:colOff>
                    <xdr:row>1</xdr:row>
                    <xdr:rowOff>47625</xdr:rowOff>
                  </from>
                  <to>
                    <xdr:col>4</xdr:col>
                    <xdr:colOff>1600200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4</xdr:col>
                    <xdr:colOff>161925</xdr:colOff>
                    <xdr:row>5</xdr:row>
                    <xdr:rowOff>19050</xdr:rowOff>
                  </from>
                  <to>
                    <xdr:col>4</xdr:col>
                    <xdr:colOff>1600200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3.125" bestFit="1" customWidth="1"/>
    <col min="4" max="4" width="9.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23</v>
      </c>
    </row>
    <row r="3" spans="1:6" x14ac:dyDescent="0.15">
      <c r="A3" s="3" t="s">
        <v>18</v>
      </c>
      <c r="B3" s="3" t="s">
        <v>19</v>
      </c>
      <c r="C3" s="3" t="s">
        <v>22</v>
      </c>
      <c r="D3" s="3" t="s">
        <v>39</v>
      </c>
      <c r="E3" s="3" t="s">
        <v>20</v>
      </c>
      <c r="F3" s="3" t="s">
        <v>21</v>
      </c>
    </row>
    <row r="4" spans="1:6" x14ac:dyDescent="0.15">
      <c r="A4">
        <v>0</v>
      </c>
      <c r="B4" t="s">
        <v>24</v>
      </c>
      <c r="D4">
        <v>1</v>
      </c>
      <c r="E4" s="8">
        <v>44341</v>
      </c>
      <c r="F4" s="8">
        <f>WORKDAY(E4,D4,Holidays!A:A)</f>
        <v>44342</v>
      </c>
    </row>
    <row r="5" spans="1:6" x14ac:dyDescent="0.15">
      <c r="A5">
        <v>1</v>
      </c>
      <c r="B5" t="s">
        <v>25</v>
      </c>
      <c r="C5">
        <v>0</v>
      </c>
      <c r="D5">
        <v>1</v>
      </c>
      <c r="E5" s="8">
        <f>WORKDAY(MAX(F4),1,Holidays!A:A)</f>
        <v>44343</v>
      </c>
      <c r="F5" s="8">
        <f>WORKDAY(E5,D5,Holidays!A:A)</f>
        <v>44344</v>
      </c>
    </row>
    <row r="6" spans="1:6" x14ac:dyDescent="0.15">
      <c r="A6">
        <v>2</v>
      </c>
      <c r="B6" t="s">
        <v>28</v>
      </c>
      <c r="C6">
        <v>1</v>
      </c>
      <c r="D6">
        <v>1</v>
      </c>
      <c r="E6" s="8">
        <f>WORKDAY(MAX(F5),1,Holidays!A:A)</f>
        <v>44347</v>
      </c>
      <c r="F6" s="8">
        <f>WORKDAY(E6,D6,Holidays!A:A)</f>
        <v>44348</v>
      </c>
    </row>
    <row r="7" spans="1:6" x14ac:dyDescent="0.15">
      <c r="A7">
        <v>3</v>
      </c>
      <c r="B7" t="s">
        <v>26</v>
      </c>
      <c r="C7">
        <v>2</v>
      </c>
      <c r="D7">
        <v>1</v>
      </c>
      <c r="E7" s="8">
        <f>WORKDAY(MAX(F6),1,Holidays!A:A)</f>
        <v>44349</v>
      </c>
      <c r="F7" s="8">
        <f>WORKDAY(E7,D7,Holidays!A:A)</f>
        <v>44350</v>
      </c>
    </row>
    <row r="8" spans="1:6" x14ac:dyDescent="0.15">
      <c r="A8">
        <v>4</v>
      </c>
      <c r="B8" t="s">
        <v>27</v>
      </c>
      <c r="C8">
        <v>3</v>
      </c>
      <c r="D8">
        <v>1</v>
      </c>
      <c r="E8" s="8">
        <f>WORKDAY(MAX(F7),1,Holidays!A:A)</f>
        <v>44351</v>
      </c>
      <c r="F8" s="8">
        <f>WORKDAY(E8,D8,Holidays!A:A)</f>
        <v>44354</v>
      </c>
    </row>
    <row r="9" spans="1:6" x14ac:dyDescent="0.15">
      <c r="A9">
        <v>5</v>
      </c>
      <c r="B9" t="s">
        <v>34</v>
      </c>
      <c r="C9">
        <v>0</v>
      </c>
      <c r="D9">
        <v>1</v>
      </c>
      <c r="E9" s="8">
        <f>WORKDAY(MAX(F4),1,Holidays!A:A)</f>
        <v>44343</v>
      </c>
      <c r="F9" s="8">
        <f>WORKDAY(E9,D9,Holidays!A:A)</f>
        <v>44344</v>
      </c>
    </row>
    <row r="10" spans="1:6" x14ac:dyDescent="0.15">
      <c r="A10">
        <v>6</v>
      </c>
      <c r="B10" t="s">
        <v>35</v>
      </c>
      <c r="C10">
        <v>5</v>
      </c>
      <c r="D10">
        <v>1</v>
      </c>
      <c r="E10" s="8">
        <f>WORKDAY(MAX(F9),1,Holidays!A:A)</f>
        <v>44347</v>
      </c>
      <c r="F10" s="8">
        <f>WORKDAY(E10,D10,Holidays!A:A)</f>
        <v>44348</v>
      </c>
    </row>
    <row r="11" spans="1:6" x14ac:dyDescent="0.15">
      <c r="A11">
        <v>7</v>
      </c>
      <c r="B11" t="s">
        <v>36</v>
      </c>
      <c r="C11">
        <v>6</v>
      </c>
      <c r="D11">
        <v>1</v>
      </c>
      <c r="E11" s="8">
        <f>WORKDAY(MAX(F10),1,Holidays!A:A)</f>
        <v>44349</v>
      </c>
      <c r="F11" s="8">
        <f>WORKDAY(E11,D11,Holidays!A:A)</f>
        <v>44350</v>
      </c>
    </row>
    <row r="12" spans="1:6" x14ac:dyDescent="0.15">
      <c r="A12">
        <v>8</v>
      </c>
      <c r="B12" t="s">
        <v>37</v>
      </c>
      <c r="C12">
        <v>7</v>
      </c>
      <c r="D12">
        <v>1</v>
      </c>
      <c r="E12" s="8">
        <f>WORKDAY(MAX(F11),1,Holidays!A:A)</f>
        <v>44351</v>
      </c>
      <c r="F12" s="8">
        <f>WORKDAY(E12,D12,Holidays!A:A)</f>
        <v>44354</v>
      </c>
    </row>
    <row r="13" spans="1:6" x14ac:dyDescent="0.15">
      <c r="A13">
        <v>9</v>
      </c>
      <c r="B13" t="s">
        <v>30</v>
      </c>
      <c r="C13">
        <v>0</v>
      </c>
      <c r="D13">
        <v>1</v>
      </c>
      <c r="E13" s="8">
        <f>WORKDAY(MAX(F4),1,Holidays!A:A)</f>
        <v>44343</v>
      </c>
      <c r="F13" s="8">
        <f>WORKDAY(E13,D13,Holidays!A:A)</f>
        <v>44344</v>
      </c>
    </row>
    <row r="14" spans="1:6" x14ac:dyDescent="0.15">
      <c r="A14">
        <v>10</v>
      </c>
      <c r="B14" t="s">
        <v>31</v>
      </c>
      <c r="C14">
        <v>9</v>
      </c>
      <c r="D14">
        <v>1</v>
      </c>
      <c r="E14" s="8">
        <f>WORKDAY(MAX(F13),1,Holidays!A:A)</f>
        <v>44347</v>
      </c>
      <c r="F14" s="8">
        <f>WORKDAY(E14,D14,Holidays!A:A)</f>
        <v>44348</v>
      </c>
    </row>
    <row r="15" spans="1:6" x14ac:dyDescent="0.15">
      <c r="A15">
        <v>11</v>
      </c>
      <c r="B15" t="s">
        <v>32</v>
      </c>
      <c r="C15">
        <v>0</v>
      </c>
      <c r="D15">
        <v>1</v>
      </c>
      <c r="E15" s="8">
        <f>WORKDAY(MAX(F4),1,Holidays!A:A)</f>
        <v>44343</v>
      </c>
      <c r="F15" s="8">
        <f>WORKDAY(E15,D15,Holidays!A:A)</f>
        <v>44344</v>
      </c>
    </row>
    <row r="16" spans="1:6" x14ac:dyDescent="0.15">
      <c r="A16">
        <v>12</v>
      </c>
      <c r="B16" t="s">
        <v>33</v>
      </c>
      <c r="C16">
        <v>0</v>
      </c>
      <c r="D16">
        <v>1</v>
      </c>
      <c r="E16" s="8">
        <f>WORKDAY(MAX(F4),1,Holidays!A:A)</f>
        <v>44343</v>
      </c>
      <c r="F16" s="8">
        <f>WORKDAY(E16,D16,Holidays!A:A)</f>
        <v>44344</v>
      </c>
    </row>
    <row r="17" spans="1:6" x14ac:dyDescent="0.15">
      <c r="A17">
        <v>13</v>
      </c>
      <c r="B17" t="s">
        <v>29</v>
      </c>
      <c r="C17">
        <v>12</v>
      </c>
      <c r="D17">
        <v>1</v>
      </c>
      <c r="E17" s="8">
        <f>WORKDAY(MAX(F16),1,Holidays!A:A)</f>
        <v>44347</v>
      </c>
      <c r="F17" s="8">
        <f>WORKDAY(E17,D17,Holidays!A:A)</f>
        <v>44348</v>
      </c>
    </row>
    <row r="18" spans="1:6" x14ac:dyDescent="0.15">
      <c r="A18">
        <v>14</v>
      </c>
      <c r="B18" t="s">
        <v>38</v>
      </c>
      <c r="C18" t="s">
        <v>42</v>
      </c>
      <c r="D18">
        <v>1</v>
      </c>
      <c r="E18" s="8">
        <f>WORKDAY(MAX(F8,F12,F14,F15,F17),1,Holidays!A:A)</f>
        <v>44355</v>
      </c>
      <c r="F18" s="8">
        <f>WORKDAY(E18,D18,Holidays!A:A)</f>
        <v>44356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TaskList</vt:lpstr>
      <vt:lpstr>Draw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2021-05-25T14:00:28Z</dcterms:modified>
</cp:coreProperties>
</file>