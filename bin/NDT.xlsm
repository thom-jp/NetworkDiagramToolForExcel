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TaskList" sheetId="2" r:id="rId1"/>
    <sheet name="Draw" sheetId="1" r:id="rId2"/>
    <sheet name="Schedule" sheetId="3" r:id="rId3"/>
    <sheet name="Holiday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7" i="3" s="1"/>
  <c r="F7" i="3" s="1"/>
  <c r="E13" i="3" s="1"/>
  <c r="F13" i="3" s="1"/>
  <c r="E10" i="3" l="1"/>
  <c r="F10" i="3" s="1"/>
  <c r="E5" i="3"/>
  <c r="F5" i="3" s="1"/>
  <c r="E11" i="3" s="1"/>
  <c r="F11" i="3" s="1"/>
  <c r="E8" i="3"/>
  <c r="F8" i="3" s="1"/>
  <c r="E14" i="3" s="1"/>
  <c r="F14" i="3" s="1"/>
  <c r="E6" i="3"/>
  <c r="F6" i="3" s="1"/>
  <c r="E12" i="3" s="1"/>
  <c r="F12" i="3" s="1"/>
  <c r="E9" i="3"/>
  <c r="F9" i="3" s="1"/>
  <c r="E15" i="3" s="1"/>
  <c r="F15" i="3" s="1"/>
  <c r="E17" i="3" l="1"/>
  <c r="F17" i="3" s="1"/>
  <c r="E16" i="3"/>
  <c r="F16" i="3" s="1"/>
  <c r="E18" i="3" s="1"/>
  <c r="F18" i="3" s="1"/>
</calcChain>
</file>

<file path=xl/sharedStrings.xml><?xml version="1.0" encoding="utf-8"?>
<sst xmlns="http://schemas.openxmlformats.org/spreadsheetml/2006/main" count="43" uniqueCount="43">
  <si>
    <t>床のモノを片付ける</t>
    <rPh sb="0" eb="1">
      <t>ユカ</t>
    </rPh>
    <rPh sb="5" eb="7">
      <t>カタヅ</t>
    </rPh>
    <phoneticPr fontId="1"/>
  </si>
  <si>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</si>
  <si>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</si>
  <si>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洗濯物A</t>
    <rPh sb="0" eb="2">
      <t>センタク</t>
    </rPh>
    <rPh sb="2" eb="3">
      <t>モノ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</si>
  <si>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</si>
  <si>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</si>
  <si>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</si>
  <si>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</si>
  <si>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</si>
  <si>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</si>
  <si>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</si>
  <si>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</si>
  <si>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</si>
  <si>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</si>
  <si>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</si>
  <si>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</si>
  <si>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</si>
  <si>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</si>
  <si>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</si>
  <si>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</si>
  <si>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</si>
  <si>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</si>
  <si>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</si>
  <si>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START</t>
  </si>
  <si>
    <t>ゴミ捨て</t>
  </si>
  <si>
    <t>床のモノを片付ける</t>
  </si>
  <si>
    <t>床掃除ロボット実行</t>
  </si>
  <si>
    <t>机の掃除</t>
  </si>
  <si>
    <t>トイレ掃除</t>
  </si>
  <si>
    <t>消耗品チェック</t>
  </si>
  <si>
    <t>消耗品発注</t>
  </si>
  <si>
    <t>換気</t>
  </si>
  <si>
    <t>風呂掃除</t>
  </si>
  <si>
    <t>衣類の在庫確認</t>
  </si>
  <si>
    <t>洗濯物A</t>
  </si>
  <si>
    <t>洗濯物Aを干す</t>
  </si>
  <si>
    <t>洗濯物B</t>
  </si>
  <si>
    <t>END</t>
  </si>
  <si>
    <t>Duration</t>
    <phoneticPr fontId="1"/>
  </si>
  <si>
    <t>Task List</t>
    <phoneticPr fontId="1"/>
  </si>
  <si>
    <t>Add task names below</t>
    <phoneticPr fontId="1"/>
  </si>
  <si>
    <t>Number</t>
    <phoneticPr fontId="1"/>
  </si>
  <si>
    <t>7,8,9,10,11,12,13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</si>
</sst>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762000</xdr:colOff>
      <xdr:row>11</xdr:row>
      <xdr:rowOff>164353</xdr:rowOff>
    </xdr:from>
    <xdr:to>
      <xdr:col>0</xdr:col>
      <xdr:colOff>1524000</xdr:colOff>
      <xdr:row>16</xdr:row>
      <xdr:rowOff>85912</xdr:rowOff>
    </xdr:to>
    <xdr:sp macro="" textlink="">
      <xdr:nvSpPr>
        <xdr:cNvPr id="2" name="円/楕円 1"/>
        <xdr:cNvSpPr/>
      </xdr:nvSpPr>
      <xdr:spPr>
        <a:xfrm>
          <a:off x="762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1695818</xdr:colOff>
      <xdr:row>11</xdr:row>
      <xdr:rowOff>164353</xdr:rowOff>
    </xdr:from>
    <xdr:to>
      <xdr:col>1</xdr:col>
      <xdr:colOff>519200</xdr:colOff>
      <xdr:row>16</xdr:row>
      <xdr:rowOff>85912</xdr:rowOff>
    </xdr:to>
    <xdr:sp macro="" textlink="">
      <xdr:nvSpPr>
        <xdr:cNvPr id="3" name="円/楕円 2"/>
        <xdr:cNvSpPr/>
      </xdr:nvSpPr>
      <xdr:spPr>
        <a:xfrm>
          <a:off x="1695818" y="2193178"/>
          <a:ext cx="756957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床のモ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ノを片付け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る</a:t>
          </a:r>
        </a:p>
      </xdr:txBody>
    </xdr:sp>
    <xdr:clientData/>
  </xdr:twoCellAnchor>
  <xdr:twoCellAnchor>
    <xdr:from>
      <xdr:col>0</xdr:col>
      <xdr:colOff>1695818</xdr:colOff>
      <xdr:row>17</xdr:row>
      <xdr:rowOff>151653</xdr:rowOff>
    </xdr:from>
    <xdr:to>
      <xdr:col>1</xdr:col>
      <xdr:colOff>524243</xdr:colOff>
      <xdr:row>22</xdr:row>
      <xdr:rowOff>73212</xdr:rowOff>
    </xdr:to>
    <xdr:sp macro="" textlink="">
      <xdr:nvSpPr>
        <xdr:cNvPr id="4" name="円/楕円 3"/>
        <xdr:cNvSpPr/>
      </xdr:nvSpPr>
      <xdr:spPr>
        <a:xfrm>
          <a:off x="1695818" y="3209178"/>
          <a:ext cx="762000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床掃除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ロボット実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行</a:t>
          </a:r>
        </a:p>
      </xdr:txBody>
    </xdr:sp>
    <xdr:clientData/>
  </xdr:twoCellAnchor>
  <xdr:twoCellAnchor>
    <xdr:from>
      <xdr:col>0</xdr:col>
      <xdr:colOff>1695818</xdr:colOff>
      <xdr:row>23</xdr:row>
      <xdr:rowOff>138953</xdr:rowOff>
    </xdr:from>
    <xdr:to>
      <xdr:col>1</xdr:col>
      <xdr:colOff>528165</xdr:colOff>
      <xdr:row>28</xdr:row>
      <xdr:rowOff>60512</xdr:rowOff>
    </xdr:to>
    <xdr:sp macro="" textlink="">
      <xdr:nvSpPr>
        <xdr:cNvPr id="5" name="円/楕円 4"/>
        <xdr:cNvSpPr/>
      </xdr:nvSpPr>
      <xdr:spPr>
        <a:xfrm>
          <a:off x="1695818" y="4225178"/>
          <a:ext cx="765922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衣類の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在庫確認</a:t>
          </a:r>
        </a:p>
      </xdr:txBody>
    </xdr:sp>
    <xdr:clientData/>
  </xdr:twoCellAnchor>
  <xdr:twoCellAnchor>
    <xdr:from>
      <xdr:col>0</xdr:col>
      <xdr:colOff>1695818</xdr:colOff>
      <xdr:row>29</xdr:row>
      <xdr:rowOff>126253</xdr:rowOff>
    </xdr:from>
    <xdr:to>
      <xdr:col>1</xdr:col>
      <xdr:colOff>524243</xdr:colOff>
      <xdr:row>34</xdr:row>
      <xdr:rowOff>47812</xdr:rowOff>
    </xdr:to>
    <xdr:sp macro="" textlink="">
      <xdr:nvSpPr>
        <xdr:cNvPr id="6" name="円/楕円 5"/>
        <xdr:cNvSpPr/>
      </xdr:nvSpPr>
      <xdr:spPr>
        <a:xfrm>
          <a:off x="1695818" y="5241178"/>
          <a:ext cx="762000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1695818</xdr:colOff>
      <xdr:row>35</xdr:row>
      <xdr:rowOff>113553</xdr:rowOff>
    </xdr:from>
    <xdr:to>
      <xdr:col>1</xdr:col>
      <xdr:colOff>524243</xdr:colOff>
      <xdr:row>40</xdr:row>
      <xdr:rowOff>35112</xdr:rowOff>
    </xdr:to>
    <xdr:sp macro="" textlink="">
      <xdr:nvSpPr>
        <xdr:cNvPr id="7" name="円/楕円 6"/>
        <xdr:cNvSpPr/>
      </xdr:nvSpPr>
      <xdr:spPr>
        <a:xfrm>
          <a:off x="1695818" y="6257178"/>
          <a:ext cx="762000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5.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1695818</xdr:colOff>
      <xdr:row>41</xdr:row>
      <xdr:rowOff>100853</xdr:rowOff>
    </xdr:from>
    <xdr:to>
      <xdr:col>1</xdr:col>
      <xdr:colOff>524243</xdr:colOff>
      <xdr:row>46</xdr:row>
      <xdr:rowOff>22412</xdr:rowOff>
    </xdr:to>
    <xdr:sp macro="" textlink="">
      <xdr:nvSpPr>
        <xdr:cNvPr id="8" name="円/楕円 7"/>
        <xdr:cNvSpPr/>
      </xdr:nvSpPr>
      <xdr:spPr>
        <a:xfrm>
          <a:off x="1695818" y="7273178"/>
          <a:ext cx="762000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6.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を干す</a:t>
          </a:r>
        </a:p>
      </xdr:txBody>
    </xdr:sp>
    <xdr:clientData/>
  </xdr:twoCellAnchor>
  <xdr:twoCellAnchor>
    <xdr:from>
      <xdr:col>2</xdr:col>
      <xdr:colOff>3231032</xdr:colOff>
      <xdr:row>11</xdr:row>
      <xdr:rowOff>164353</xdr:rowOff>
    </xdr:from>
    <xdr:to>
      <xdr:col>3</xdr:col>
      <xdr:colOff>485591</xdr:colOff>
      <xdr:row>16</xdr:row>
      <xdr:rowOff>85912</xdr:rowOff>
    </xdr:to>
    <xdr:sp macro="" textlink="">
      <xdr:nvSpPr>
        <xdr:cNvPr id="9" name="円/楕円 8"/>
        <xdr:cNvSpPr/>
      </xdr:nvSpPr>
      <xdr:spPr>
        <a:xfrm>
          <a:off x="6983882" y="2193178"/>
          <a:ext cx="759759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7.</a:t>
          </a:r>
          <a:r>
            <a:rPr kumimoji="1" lang="ja-JP" altLang="en-US" sz="1100">
              <a:solidFill>
                <a:srgbClr val="000000"/>
              </a:solidFill>
            </a:rPr>
            <a:t>机の掃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2</xdr:col>
      <xdr:colOff>3231032</xdr:colOff>
      <xdr:row>17</xdr:row>
      <xdr:rowOff>151653</xdr:rowOff>
    </xdr:from>
    <xdr:to>
      <xdr:col>3</xdr:col>
      <xdr:colOff>487832</xdr:colOff>
      <xdr:row>22</xdr:row>
      <xdr:rowOff>73212</xdr:rowOff>
    </xdr:to>
    <xdr:sp macro="" textlink="">
      <xdr:nvSpPr>
        <xdr:cNvPr id="10" name="円/楕円 9"/>
        <xdr:cNvSpPr/>
      </xdr:nvSpPr>
      <xdr:spPr>
        <a:xfrm>
          <a:off x="6983882" y="3209178"/>
          <a:ext cx="762000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8.</a:t>
          </a:r>
          <a:r>
            <a:rPr kumimoji="1" lang="ja-JP" altLang="en-US" sz="1100">
              <a:solidFill>
                <a:srgbClr val="000000"/>
              </a:solidFill>
            </a:rPr>
            <a:t>ゴミ捨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て</a:t>
          </a:r>
        </a:p>
      </xdr:txBody>
    </xdr:sp>
    <xdr:clientData/>
  </xdr:twoCellAnchor>
  <xdr:twoCellAnchor>
    <xdr:from>
      <xdr:col>2</xdr:col>
      <xdr:colOff>3231032</xdr:colOff>
      <xdr:row>23</xdr:row>
      <xdr:rowOff>138953</xdr:rowOff>
    </xdr:from>
    <xdr:to>
      <xdr:col>3</xdr:col>
      <xdr:colOff>488953</xdr:colOff>
      <xdr:row>28</xdr:row>
      <xdr:rowOff>60512</xdr:rowOff>
    </xdr:to>
    <xdr:sp macro="" textlink="">
      <xdr:nvSpPr>
        <xdr:cNvPr id="11" name="円/楕円 10"/>
        <xdr:cNvSpPr/>
      </xdr:nvSpPr>
      <xdr:spPr>
        <a:xfrm>
          <a:off x="6983882" y="4225178"/>
          <a:ext cx="763121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9.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チェック</a:t>
          </a:r>
        </a:p>
      </xdr:txBody>
    </xdr:sp>
    <xdr:clientData/>
  </xdr:twoCellAnchor>
  <xdr:twoCellAnchor>
    <xdr:from>
      <xdr:col>2</xdr:col>
      <xdr:colOff>3231032</xdr:colOff>
      <xdr:row>29</xdr:row>
      <xdr:rowOff>126253</xdr:rowOff>
    </xdr:from>
    <xdr:to>
      <xdr:col>3</xdr:col>
      <xdr:colOff>487832</xdr:colOff>
      <xdr:row>34</xdr:row>
      <xdr:rowOff>47812</xdr:rowOff>
    </xdr:to>
    <xdr:sp macro="" textlink="">
      <xdr:nvSpPr>
        <xdr:cNvPr id="12" name="円/楕円 11"/>
        <xdr:cNvSpPr/>
      </xdr:nvSpPr>
      <xdr:spPr>
        <a:xfrm>
          <a:off x="6983882" y="5241178"/>
          <a:ext cx="762000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10.</a:t>
          </a:r>
          <a:r>
            <a:rPr kumimoji="1" lang="ja-JP" altLang="en-US" sz="1100">
              <a:solidFill>
                <a:srgbClr val="000000"/>
              </a:solidFill>
            </a:rPr>
            <a:t>消耗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品発注</a:t>
          </a:r>
        </a:p>
      </xdr:txBody>
    </xdr:sp>
    <xdr:clientData/>
  </xdr:twoCellAnchor>
  <xdr:twoCellAnchor>
    <xdr:from>
      <xdr:col>2</xdr:col>
      <xdr:colOff>3231032</xdr:colOff>
      <xdr:row>35</xdr:row>
      <xdr:rowOff>113553</xdr:rowOff>
    </xdr:from>
    <xdr:to>
      <xdr:col>3</xdr:col>
      <xdr:colOff>486151</xdr:colOff>
      <xdr:row>40</xdr:row>
      <xdr:rowOff>35112</xdr:rowOff>
    </xdr:to>
    <xdr:sp macro="" textlink="">
      <xdr:nvSpPr>
        <xdr:cNvPr id="13" name="円/楕円 12"/>
        <xdr:cNvSpPr/>
      </xdr:nvSpPr>
      <xdr:spPr>
        <a:xfrm>
          <a:off x="6983882" y="6257178"/>
          <a:ext cx="760319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11.</a:t>
          </a:r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2</xdr:col>
      <xdr:colOff>3231032</xdr:colOff>
      <xdr:row>41</xdr:row>
      <xdr:rowOff>100853</xdr:rowOff>
    </xdr:from>
    <xdr:to>
      <xdr:col>3</xdr:col>
      <xdr:colOff>492314</xdr:colOff>
      <xdr:row>46</xdr:row>
      <xdr:rowOff>22412</xdr:rowOff>
    </xdr:to>
    <xdr:sp macro="" textlink="">
      <xdr:nvSpPr>
        <xdr:cNvPr id="14" name="円/楕円 13"/>
        <xdr:cNvSpPr/>
      </xdr:nvSpPr>
      <xdr:spPr>
        <a:xfrm>
          <a:off x="6983882" y="7273178"/>
          <a:ext cx="766482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12.</a:t>
          </a:r>
          <a:r>
            <a:rPr kumimoji="1" lang="ja-JP" altLang="en-US" sz="1100">
              <a:solidFill>
                <a:srgbClr val="000000"/>
              </a:solidFill>
            </a:rPr>
            <a:t>風呂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2</xdr:col>
      <xdr:colOff>3231032</xdr:colOff>
      <xdr:row>47</xdr:row>
      <xdr:rowOff>88153</xdr:rowOff>
    </xdr:from>
    <xdr:to>
      <xdr:col>3</xdr:col>
      <xdr:colOff>490073</xdr:colOff>
      <xdr:row>52</xdr:row>
      <xdr:rowOff>9712</xdr:rowOff>
    </xdr:to>
    <xdr:sp macro="" textlink="">
      <xdr:nvSpPr>
        <xdr:cNvPr id="15" name="円/楕円 14"/>
        <xdr:cNvSpPr/>
      </xdr:nvSpPr>
      <xdr:spPr>
        <a:xfrm>
          <a:off x="6983882" y="8289178"/>
          <a:ext cx="764241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13.</a:t>
          </a:r>
          <a:r>
            <a:rPr kumimoji="1" lang="ja-JP" altLang="en-US" sz="1100">
              <a:solidFill>
                <a:srgbClr val="000000"/>
              </a:solidFill>
            </a:rPr>
            <a:t>トイ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レ掃除</a:t>
          </a:r>
        </a:p>
      </xdr:txBody>
    </xdr:sp>
    <xdr:clientData/>
  </xdr:twoCellAnchor>
  <xdr:twoCellAnchor>
    <xdr:from>
      <xdr:col>8</xdr:col>
      <xdr:colOff>399676</xdr:colOff>
      <xdr:row>11</xdr:row>
      <xdr:rowOff>164353</xdr:rowOff>
    </xdr:from>
    <xdr:to>
      <xdr:col>9</xdr:col>
      <xdr:colOff>478118</xdr:colOff>
      <xdr:row>16</xdr:row>
      <xdr:rowOff>85912</xdr:rowOff>
    </xdr:to>
    <xdr:sp macro="" textlink="">
      <xdr:nvSpPr>
        <xdr:cNvPr id="16" name="円/楕円 15"/>
        <xdr:cNvSpPr/>
      </xdr:nvSpPr>
      <xdr:spPr>
        <a:xfrm>
          <a:off x="13208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14.EN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1524000</xdr:colOff>
      <xdr:row>14</xdr:row>
      <xdr:rowOff>39408</xdr:rowOff>
    </xdr:from>
    <xdr:to>
      <xdr:col>0</xdr:col>
      <xdr:colOff>1695818</xdr:colOff>
      <xdr:row>14</xdr:row>
      <xdr:rowOff>39408</xdr:rowOff>
    </xdr:to>
    <xdr:cxnSp macro="">
      <xdr:nvCxnSpPr>
        <xdr:cNvPr id="19" name="直線矢印コネクタ 18"/>
        <xdr:cNvCxnSpPr>
          <a:stCxn id="2" idx="6"/>
          <a:endCxn id="3" idx="2"/>
        </xdr:cNvCxnSpPr>
      </xdr:nvCxnSpPr>
      <xdr:spPr>
        <a:xfrm>
          <a:off x="1524000" y="2582583"/>
          <a:ext cx="171818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1524000</xdr:colOff>
      <xdr:row>14</xdr:row>
      <xdr:rowOff>39408</xdr:rowOff>
    </xdr:from>
    <xdr:to>
      <xdr:col>0</xdr:col>
      <xdr:colOff>1695818</xdr:colOff>
      <xdr:row>20</xdr:row>
      <xdr:rowOff>26708</xdr:rowOff>
    </xdr:to>
    <xdr:cxnSp macro="">
      <xdr:nvCxnSpPr>
        <xdr:cNvPr id="20" name="直線矢印コネクタ 19"/>
        <xdr:cNvCxnSpPr>
          <a:stCxn id="2" idx="6"/>
          <a:endCxn id="4" idx="2"/>
        </xdr:cNvCxnSpPr>
      </xdr:nvCxnSpPr>
      <xdr:spPr>
        <a:xfrm>
          <a:off x="1524000" y="2582583"/>
          <a:ext cx="171818" cy="1016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1524000</xdr:colOff>
      <xdr:row>14</xdr:row>
      <xdr:rowOff>39408</xdr:rowOff>
    </xdr:from>
    <xdr:to>
      <xdr:col>0</xdr:col>
      <xdr:colOff>1695818</xdr:colOff>
      <xdr:row>26</xdr:row>
      <xdr:rowOff>14008</xdr:rowOff>
    </xdr:to>
    <xdr:cxnSp macro="">
      <xdr:nvCxnSpPr>
        <xdr:cNvPr id="21" name="直線矢印コネクタ 20"/>
        <xdr:cNvCxnSpPr>
          <a:stCxn id="2" idx="6"/>
          <a:endCxn id="5" idx="2"/>
        </xdr:cNvCxnSpPr>
      </xdr:nvCxnSpPr>
      <xdr:spPr>
        <a:xfrm>
          <a:off x="1524000" y="2582583"/>
          <a:ext cx="171818" cy="2032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1524000</xdr:colOff>
      <xdr:row>14</xdr:row>
      <xdr:rowOff>39408</xdr:rowOff>
    </xdr:from>
    <xdr:to>
      <xdr:col>0</xdr:col>
      <xdr:colOff>1695818</xdr:colOff>
      <xdr:row>32</xdr:row>
      <xdr:rowOff>1308</xdr:rowOff>
    </xdr:to>
    <xdr:cxnSp macro="">
      <xdr:nvCxnSpPr>
        <xdr:cNvPr id="22" name="直線矢印コネクタ 21"/>
        <xdr:cNvCxnSpPr>
          <a:stCxn id="2" idx="6"/>
          <a:endCxn id="6" idx="2"/>
        </xdr:cNvCxnSpPr>
      </xdr:nvCxnSpPr>
      <xdr:spPr>
        <a:xfrm>
          <a:off x="1524000" y="2582583"/>
          <a:ext cx="171818" cy="3048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1524000</xdr:colOff>
      <xdr:row>14</xdr:row>
      <xdr:rowOff>39408</xdr:rowOff>
    </xdr:from>
    <xdr:to>
      <xdr:col>0</xdr:col>
      <xdr:colOff>1695818</xdr:colOff>
      <xdr:row>37</xdr:row>
      <xdr:rowOff>160058</xdr:rowOff>
    </xdr:to>
    <xdr:cxnSp macro="">
      <xdr:nvCxnSpPr>
        <xdr:cNvPr id="23" name="直線矢印コネクタ 22"/>
        <xdr:cNvCxnSpPr>
          <a:stCxn id="2" idx="6"/>
          <a:endCxn id="7" idx="2"/>
        </xdr:cNvCxnSpPr>
      </xdr:nvCxnSpPr>
      <xdr:spPr>
        <a:xfrm>
          <a:off x="1524000" y="2582583"/>
          <a:ext cx="171818" cy="4064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1524000</xdr:colOff>
      <xdr:row>14</xdr:row>
      <xdr:rowOff>39408</xdr:rowOff>
    </xdr:from>
    <xdr:to>
      <xdr:col>0</xdr:col>
      <xdr:colOff>1695818</xdr:colOff>
      <xdr:row>43</xdr:row>
      <xdr:rowOff>147358</xdr:rowOff>
    </xdr:to>
    <xdr:cxnSp macro="">
      <xdr:nvCxnSpPr>
        <xdr:cNvPr id="24" name="直線矢印コネクタ 23"/>
        <xdr:cNvCxnSpPr>
          <a:stCxn id="2" idx="6"/>
          <a:endCxn id="8" idx="2"/>
        </xdr:cNvCxnSpPr>
      </xdr:nvCxnSpPr>
      <xdr:spPr>
        <a:xfrm>
          <a:off x="1524000" y="2582583"/>
          <a:ext cx="171818" cy="5080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519200</xdr:colOff>
      <xdr:row>14</xdr:row>
      <xdr:rowOff>39408</xdr:rowOff>
    </xdr:from>
    <xdr:to>
      <xdr:col>2</xdr:col>
      <xdr:colOff>3231032</xdr:colOff>
      <xdr:row>14</xdr:row>
      <xdr:rowOff>39408</xdr:rowOff>
    </xdr:to>
    <xdr:cxnSp macro="">
      <xdr:nvCxnSpPr>
        <xdr:cNvPr id="25" name="直線矢印コネクタ 24"/>
        <xdr:cNvCxnSpPr>
          <a:stCxn id="3" idx="6"/>
          <a:endCxn id="9" idx="2"/>
        </xdr:cNvCxnSpPr>
      </xdr:nvCxnSpPr>
      <xdr:spPr>
        <a:xfrm>
          <a:off x="2452775" y="2582583"/>
          <a:ext cx="4531107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524243</xdr:colOff>
      <xdr:row>20</xdr:row>
      <xdr:rowOff>26708</xdr:rowOff>
    </xdr:from>
    <xdr:to>
      <xdr:col>2</xdr:col>
      <xdr:colOff>3231032</xdr:colOff>
      <xdr:row>20</xdr:row>
      <xdr:rowOff>26708</xdr:rowOff>
    </xdr:to>
    <xdr:cxnSp macro="">
      <xdr:nvCxnSpPr>
        <xdr:cNvPr id="26" name="直線矢印コネクタ 25"/>
        <xdr:cNvCxnSpPr>
          <a:stCxn id="4" idx="6"/>
          <a:endCxn id="10" idx="2"/>
        </xdr:cNvCxnSpPr>
      </xdr:nvCxnSpPr>
      <xdr:spPr>
        <a:xfrm>
          <a:off x="2457818" y="3598583"/>
          <a:ext cx="4526064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528165</xdr:colOff>
      <xdr:row>26</xdr:row>
      <xdr:rowOff>14008</xdr:rowOff>
    </xdr:from>
    <xdr:to>
      <xdr:col>2</xdr:col>
      <xdr:colOff>3231032</xdr:colOff>
      <xdr:row>26</xdr:row>
      <xdr:rowOff>14008</xdr:rowOff>
    </xdr:to>
    <xdr:cxnSp macro="">
      <xdr:nvCxnSpPr>
        <xdr:cNvPr id="27" name="直線矢印コネクタ 26"/>
        <xdr:cNvCxnSpPr>
          <a:stCxn id="5" idx="6"/>
          <a:endCxn id="11" idx="2"/>
        </xdr:cNvCxnSpPr>
      </xdr:nvCxnSpPr>
      <xdr:spPr>
        <a:xfrm>
          <a:off x="2461740" y="4614583"/>
          <a:ext cx="4522142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524243</xdr:colOff>
      <xdr:row>32</xdr:row>
      <xdr:rowOff>1308</xdr:rowOff>
    </xdr:from>
    <xdr:to>
      <xdr:col>2</xdr:col>
      <xdr:colOff>3231032</xdr:colOff>
      <xdr:row>32</xdr:row>
      <xdr:rowOff>1308</xdr:rowOff>
    </xdr:to>
    <xdr:cxnSp macro="">
      <xdr:nvCxnSpPr>
        <xdr:cNvPr id="28" name="直線矢印コネクタ 27"/>
        <xdr:cNvCxnSpPr>
          <a:stCxn id="6" idx="6"/>
          <a:endCxn id="12" idx="2"/>
        </xdr:cNvCxnSpPr>
      </xdr:nvCxnSpPr>
      <xdr:spPr>
        <a:xfrm>
          <a:off x="2457818" y="5630583"/>
          <a:ext cx="4526064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524243</xdr:colOff>
      <xdr:row>37</xdr:row>
      <xdr:rowOff>160058</xdr:rowOff>
    </xdr:from>
    <xdr:to>
      <xdr:col>2</xdr:col>
      <xdr:colOff>3231032</xdr:colOff>
      <xdr:row>37</xdr:row>
      <xdr:rowOff>160058</xdr:rowOff>
    </xdr:to>
    <xdr:cxnSp macro="">
      <xdr:nvCxnSpPr>
        <xdr:cNvPr id="29" name="直線矢印コネクタ 28"/>
        <xdr:cNvCxnSpPr>
          <a:stCxn id="7" idx="6"/>
          <a:endCxn id="13" idx="2"/>
        </xdr:cNvCxnSpPr>
      </xdr:nvCxnSpPr>
      <xdr:spPr>
        <a:xfrm>
          <a:off x="2457818" y="6646583"/>
          <a:ext cx="4526064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524243</xdr:colOff>
      <xdr:row>43</xdr:row>
      <xdr:rowOff>147358</xdr:rowOff>
    </xdr:from>
    <xdr:to>
      <xdr:col>2</xdr:col>
      <xdr:colOff>3231032</xdr:colOff>
      <xdr:row>43</xdr:row>
      <xdr:rowOff>147358</xdr:rowOff>
    </xdr:to>
    <xdr:cxnSp macro="">
      <xdr:nvCxnSpPr>
        <xdr:cNvPr id="30" name="直線矢印コネクタ 29"/>
        <xdr:cNvCxnSpPr>
          <a:stCxn id="8" idx="6"/>
          <a:endCxn id="14" idx="2"/>
        </xdr:cNvCxnSpPr>
      </xdr:nvCxnSpPr>
      <xdr:spPr>
        <a:xfrm>
          <a:off x="2457818" y="7662583"/>
          <a:ext cx="4526064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524243</xdr:colOff>
      <xdr:row>43</xdr:row>
      <xdr:rowOff>147358</xdr:rowOff>
    </xdr:from>
    <xdr:to>
      <xdr:col>2</xdr:col>
      <xdr:colOff>3231032</xdr:colOff>
      <xdr:row>49</xdr:row>
      <xdr:rowOff>134658</xdr:rowOff>
    </xdr:to>
    <xdr:cxnSp macro="">
      <xdr:nvCxnSpPr>
        <xdr:cNvPr id="31" name="直線矢印コネクタ 30"/>
        <xdr:cNvCxnSpPr>
          <a:stCxn id="8" idx="6"/>
          <a:endCxn id="15" idx="2"/>
        </xdr:cNvCxnSpPr>
      </xdr:nvCxnSpPr>
      <xdr:spPr>
        <a:xfrm>
          <a:off x="2457818" y="7662583"/>
          <a:ext cx="4526064" cy="1016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485591</xdr:colOff>
      <xdr:row>14</xdr:row>
      <xdr:rowOff>39408</xdr:rowOff>
    </xdr:from>
    <xdr:to>
      <xdr:col>8</xdr:col>
      <xdr:colOff>399676</xdr:colOff>
      <xdr:row>14</xdr:row>
      <xdr:rowOff>39408</xdr:rowOff>
    </xdr:to>
    <xdr:cxnSp macro="">
      <xdr:nvCxnSpPr>
        <xdr:cNvPr id="1024" name="直線矢印コネクタ 1023"/>
        <xdr:cNvCxnSpPr>
          <a:stCxn id="9" idx="6"/>
          <a:endCxn id="16" idx="2"/>
        </xdr:cNvCxnSpPr>
      </xdr:nvCxnSpPr>
      <xdr:spPr>
        <a:xfrm>
          <a:off x="7743641" y="2582583"/>
          <a:ext cx="546716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487832</xdr:colOff>
      <xdr:row>14</xdr:row>
      <xdr:rowOff>39408</xdr:rowOff>
    </xdr:from>
    <xdr:to>
      <xdr:col>8</xdr:col>
      <xdr:colOff>399676</xdr:colOff>
      <xdr:row>20</xdr:row>
      <xdr:rowOff>26708</xdr:rowOff>
    </xdr:to>
    <xdr:cxnSp macro="">
      <xdr:nvCxnSpPr>
        <xdr:cNvPr id="1025" name="直線矢印コネクタ 1024"/>
        <xdr:cNvCxnSpPr>
          <a:stCxn id="10" idx="6"/>
          <a:endCxn id="16" idx="2"/>
        </xdr:cNvCxnSpPr>
      </xdr:nvCxnSpPr>
      <xdr:spPr>
        <a:xfrm flipV="1">
          <a:off x="7745882" y="2582583"/>
          <a:ext cx="5464919" cy="1016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488953</xdr:colOff>
      <xdr:row>14</xdr:row>
      <xdr:rowOff>39408</xdr:rowOff>
    </xdr:from>
    <xdr:to>
      <xdr:col>8</xdr:col>
      <xdr:colOff>399676</xdr:colOff>
      <xdr:row>26</xdr:row>
      <xdr:rowOff>14008</xdr:rowOff>
    </xdr:to>
    <xdr:cxnSp macro="">
      <xdr:nvCxnSpPr>
        <xdr:cNvPr id="1026" name="直線矢印コネクタ 1025"/>
        <xdr:cNvCxnSpPr>
          <a:stCxn id="11" idx="6"/>
          <a:endCxn id="16" idx="2"/>
        </xdr:cNvCxnSpPr>
      </xdr:nvCxnSpPr>
      <xdr:spPr>
        <a:xfrm flipV="1">
          <a:off x="7747003" y="2582583"/>
          <a:ext cx="5463798" cy="2032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487832</xdr:colOff>
      <xdr:row>14</xdr:row>
      <xdr:rowOff>39408</xdr:rowOff>
    </xdr:from>
    <xdr:to>
      <xdr:col>8</xdr:col>
      <xdr:colOff>399676</xdr:colOff>
      <xdr:row>32</xdr:row>
      <xdr:rowOff>1308</xdr:rowOff>
    </xdr:to>
    <xdr:cxnSp macro="">
      <xdr:nvCxnSpPr>
        <xdr:cNvPr id="1038" name="直線矢印コネクタ 1037"/>
        <xdr:cNvCxnSpPr>
          <a:stCxn id="12" idx="6"/>
          <a:endCxn id="16" idx="2"/>
        </xdr:cNvCxnSpPr>
      </xdr:nvCxnSpPr>
      <xdr:spPr>
        <a:xfrm flipV="1">
          <a:off x="7745882" y="2582583"/>
          <a:ext cx="5464919" cy="3048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486151</xdr:colOff>
      <xdr:row>14</xdr:row>
      <xdr:rowOff>39408</xdr:rowOff>
    </xdr:from>
    <xdr:to>
      <xdr:col>8</xdr:col>
      <xdr:colOff>399676</xdr:colOff>
      <xdr:row>37</xdr:row>
      <xdr:rowOff>160058</xdr:rowOff>
    </xdr:to>
    <xdr:cxnSp macro="">
      <xdr:nvCxnSpPr>
        <xdr:cNvPr id="1039" name="直線矢印コネクタ 1038"/>
        <xdr:cNvCxnSpPr>
          <a:stCxn id="13" idx="6"/>
          <a:endCxn id="16" idx="2"/>
        </xdr:cNvCxnSpPr>
      </xdr:nvCxnSpPr>
      <xdr:spPr>
        <a:xfrm flipV="1">
          <a:off x="7744201" y="2582583"/>
          <a:ext cx="5466600" cy="4064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492314</xdr:colOff>
      <xdr:row>14</xdr:row>
      <xdr:rowOff>39408</xdr:rowOff>
    </xdr:from>
    <xdr:to>
      <xdr:col>8</xdr:col>
      <xdr:colOff>399676</xdr:colOff>
      <xdr:row>43</xdr:row>
      <xdr:rowOff>147358</xdr:rowOff>
    </xdr:to>
    <xdr:cxnSp macro="">
      <xdr:nvCxnSpPr>
        <xdr:cNvPr id="1040" name="直線矢印コネクタ 1039"/>
        <xdr:cNvCxnSpPr>
          <a:stCxn id="14" idx="6"/>
          <a:endCxn id="16" idx="2"/>
        </xdr:cNvCxnSpPr>
      </xdr:nvCxnSpPr>
      <xdr:spPr>
        <a:xfrm flipV="1">
          <a:off x="7750364" y="2582583"/>
          <a:ext cx="5460437" cy="5080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490073</xdr:colOff>
      <xdr:row>14</xdr:row>
      <xdr:rowOff>39408</xdr:rowOff>
    </xdr:from>
    <xdr:to>
      <xdr:col>8</xdr:col>
      <xdr:colOff>399676</xdr:colOff>
      <xdr:row>49</xdr:row>
      <xdr:rowOff>134658</xdr:rowOff>
    </xdr:to>
    <xdr:cxnSp macro="">
      <xdr:nvCxnSpPr>
        <xdr:cNvPr id="1041" name="直線矢印コネクタ 1040"/>
        <xdr:cNvCxnSpPr>
          <a:stCxn id="15" idx="6"/>
          <a:endCxn id="16" idx="2"/>
        </xdr:cNvCxnSpPr>
      </xdr:nvCxnSpPr>
      <xdr:spPr>
        <a:xfrm flipV="1">
          <a:off x="7748123" y="2582583"/>
          <a:ext cx="5462678" cy="6096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skListSheet"/>
  <dimension ref="A1:A16"/>
  <sheetViews>
    <sheetView tabSelected="1" workbookViewId="0"/>
  </sheetViews>
  <sheetFormatPr defaultRowHeight="13.5" x14ac:dyDescent="0.15"/>
  <cols>
    <col min="1" max="1" width="50.125" bestFit="1" customWidth="1"/>
  </cols>
  <sheetData>
    <row r="1" spans="1:1" s="2" customFormat="1" ht="42" x14ac:dyDescent="0.15">
      <c r="A1" s="1" t="s">
        <v>39</v>
      </c>
    </row>
    <row r="3" spans="1:1" x14ac:dyDescent="0.15">
      <c r="A3" s="3" t="s">
        <v>40</v>
      </c>
    </row>
    <row r="4" spans="1:1" x14ac:dyDescent="0.15">
      <c r="A4" t="s">
        <v>0</v>
      </c>
    </row>
    <row r="5" spans="1:1" x14ac:dyDescent="0.15">
      <c r="A5" t="s">
        <v>1</v>
      </c>
    </row>
    <row r="6" spans="1:1" x14ac:dyDescent="0.15">
      <c r="A6" t="s">
        <v>2</v>
      </c>
    </row>
    <row r="7" spans="1:1" x14ac:dyDescent="0.15">
      <c r="A7" t="s">
        <v>3</v>
      </c>
    </row>
    <row r="8" spans="1:1" x14ac:dyDescent="0.15">
      <c r="A8" t="s">
        <v>4</v>
      </c>
    </row>
    <row r="9" spans="1:1" x14ac:dyDescent="0.15">
      <c r="A9" t="s">
        <v>5</v>
      </c>
    </row>
    <row r="10" spans="1:1" x14ac:dyDescent="0.15">
      <c r="A10" t="s">
        <v>6</v>
      </c>
    </row>
    <row r="11" spans="1:1" x14ac:dyDescent="0.15">
      <c r="A11" t="s">
        <v>7</v>
      </c>
    </row>
    <row r="12" spans="1:1" x14ac:dyDescent="0.15">
      <c r="A12" t="s">
        <v>14</v>
      </c>
    </row>
    <row r="13" spans="1:1" x14ac:dyDescent="0.15">
      <c r="A13" t="s">
        <v>15</v>
      </c>
    </row>
    <row r="14" spans="1:1" x14ac:dyDescent="0.15">
      <c r="A14" t="s">
        <v>16</v>
      </c>
    </row>
    <row r="15" spans="1:1" x14ac:dyDescent="0.15">
      <c r="A15" t="s">
        <v>12</v>
      </c>
    </row>
    <row r="16" spans="1:1" x14ac:dyDescent="0.15">
      <c r="A16" t="s">
        <v>13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="85" zoomScaleNormal="85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8</v>
      </c>
      <c r="B1" s="7" t="s">
        <v>9</v>
      </c>
      <c r="C1" s="7" t="s">
        <v>10</v>
      </c>
      <c r="D1" s="7" t="s">
        <v>41</v>
      </c>
      <c r="E1" s="7" t="s">
        <v>11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F18"/>
  <sheetViews>
    <sheetView workbookViewId="0"/>
  </sheetViews>
  <sheetFormatPr defaultRowHeight="13.5" x14ac:dyDescent="0.15"/>
  <cols>
    <col min="1" max="1" width="3.75" bestFit="1" customWidth="1"/>
    <col min="2" max="2" width="19.125" bestFit="1" customWidth="1"/>
    <col min="3" max="3" width="15.25" bestFit="1" customWidth="1"/>
    <col min="4" max="4" width="9.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22</v>
      </c>
    </row>
    <row r="3" spans="1:6" x14ac:dyDescent="0.15">
      <c r="A3" s="3" t="s">
        <v>17</v>
      </c>
      <c r="B3" s="3" t="s">
        <v>18</v>
      </c>
      <c r="C3" s="3" t="s">
        <v>21</v>
      </c>
      <c r="D3" s="3" t="s">
        <v>38</v>
      </c>
      <c r="E3" s="3" t="s">
        <v>19</v>
      </c>
      <c r="F3" s="3" t="s">
        <v>20</v>
      </c>
    </row>
    <row r="4" spans="1:6" x14ac:dyDescent="0.15">
      <c r="A4">
        <v>0</v>
      </c>
      <c r="B4" t="s">
        <v>23</v>
      </c>
      <c r="D4">
        <v>1</v>
      </c>
      <c r="E4" s="8">
        <v>44344</v>
      </c>
      <c r="F4" s="8">
        <f>WORKDAY(E4,D4,Holidays!A:A)</f>
        <v>44347</v>
      </c>
    </row>
    <row r="5" spans="1:6" x14ac:dyDescent="0.15">
      <c r="A5">
        <v>1</v>
      </c>
      <c r="B5" t="s">
        <v>25</v>
      </c>
      <c r="C5">
        <v>0</v>
      </c>
      <c r="D5">
        <v>1</v>
      </c>
      <c r="E5" s="8">
        <f>WORKDAY(MAX(F4),1,Holidays!A:A)</f>
        <v>44348</v>
      </c>
      <c r="F5" s="8">
        <f>WORKDAY(E5,D5,Holidays!A:A)</f>
        <v>44349</v>
      </c>
    </row>
    <row r="6" spans="1:6" x14ac:dyDescent="0.15">
      <c r="A6">
        <v>2</v>
      </c>
      <c r="B6" t="s">
        <v>26</v>
      </c>
      <c r="C6">
        <v>0</v>
      </c>
      <c r="D6">
        <v>1</v>
      </c>
      <c r="E6" s="8">
        <f>WORKDAY(MAX(F4),1,Holidays!A:A)</f>
        <v>44348</v>
      </c>
      <c r="F6" s="8">
        <f>WORKDAY(E6,D6,Holidays!A:A)</f>
        <v>44349</v>
      </c>
    </row>
    <row r="7" spans="1:6" x14ac:dyDescent="0.15">
      <c r="A7">
        <v>3</v>
      </c>
      <c r="B7" t="s">
        <v>33</v>
      </c>
      <c r="C7">
        <v>0</v>
      </c>
      <c r="D7">
        <v>1</v>
      </c>
      <c r="E7" s="8">
        <f>WORKDAY(MAX(F4),1,Holidays!A:A)</f>
        <v>44348</v>
      </c>
      <c r="F7" s="8">
        <f>WORKDAY(E7,D7,Holidays!A:A)</f>
        <v>44349</v>
      </c>
    </row>
    <row r="8" spans="1:6" x14ac:dyDescent="0.15">
      <c r="A8">
        <v>4</v>
      </c>
      <c r="B8" t="s">
        <v>34</v>
      </c>
      <c r="C8">
        <v>0</v>
      </c>
      <c r="D8">
        <v>1</v>
      </c>
      <c r="E8" s="8">
        <f>WORKDAY(MAX(F4),1,Holidays!A:A)</f>
        <v>44348</v>
      </c>
      <c r="F8" s="8">
        <f>WORKDAY(E8,D8,Holidays!A:A)</f>
        <v>44349</v>
      </c>
    </row>
    <row r="9" spans="1:6" x14ac:dyDescent="0.15">
      <c r="A9">
        <v>5</v>
      </c>
      <c r="B9" t="s">
        <v>36</v>
      </c>
      <c r="C9">
        <v>0</v>
      </c>
      <c r="D9">
        <v>1</v>
      </c>
      <c r="E9" s="8">
        <f>WORKDAY(MAX(F4),1,Holidays!A:A)</f>
        <v>44348</v>
      </c>
      <c r="F9" s="8">
        <f>WORKDAY(E9,D9,Holidays!A:A)</f>
        <v>44349</v>
      </c>
    </row>
    <row r="10" spans="1:6" x14ac:dyDescent="0.15">
      <c r="A10">
        <v>6</v>
      </c>
      <c r="B10" t="s">
        <v>35</v>
      </c>
      <c r="C10">
        <v>0</v>
      </c>
      <c r="D10">
        <v>1</v>
      </c>
      <c r="E10" s="8">
        <f>WORKDAY(MAX(F4),1,Holidays!A:A)</f>
        <v>44348</v>
      </c>
      <c r="F10" s="8">
        <f>WORKDAY(E10,D10,Holidays!A:A)</f>
        <v>44349</v>
      </c>
    </row>
    <row r="11" spans="1:6" x14ac:dyDescent="0.15">
      <c r="A11">
        <v>7</v>
      </c>
      <c r="B11" t="s">
        <v>27</v>
      </c>
      <c r="C11">
        <v>1</v>
      </c>
      <c r="D11">
        <v>1</v>
      </c>
      <c r="E11" s="8">
        <f>WORKDAY(MAX(F5),1,Holidays!A:A)</f>
        <v>44350</v>
      </c>
      <c r="F11" s="8">
        <f>WORKDAY(E11,D11,Holidays!A:A)</f>
        <v>44351</v>
      </c>
    </row>
    <row r="12" spans="1:6" x14ac:dyDescent="0.15">
      <c r="A12">
        <v>8</v>
      </c>
      <c r="B12" t="s">
        <v>24</v>
      </c>
      <c r="C12">
        <v>2</v>
      </c>
      <c r="D12">
        <v>1</v>
      </c>
      <c r="E12" s="8">
        <f>WORKDAY(MAX(F6),1,Holidays!A:A)</f>
        <v>44350</v>
      </c>
      <c r="F12" s="8">
        <f>WORKDAY(E12,D12,Holidays!A:A)</f>
        <v>44351</v>
      </c>
    </row>
    <row r="13" spans="1:6" x14ac:dyDescent="0.15">
      <c r="A13">
        <v>9</v>
      </c>
      <c r="B13" t="s">
        <v>29</v>
      </c>
      <c r="C13">
        <v>3</v>
      </c>
      <c r="D13">
        <v>1</v>
      </c>
      <c r="E13" s="8">
        <f>WORKDAY(MAX(F7),1,Holidays!A:A)</f>
        <v>44350</v>
      </c>
      <c r="F13" s="8">
        <f>WORKDAY(E13,D13,Holidays!A:A)</f>
        <v>44351</v>
      </c>
    </row>
    <row r="14" spans="1:6" x14ac:dyDescent="0.15">
      <c r="A14">
        <v>10</v>
      </c>
      <c r="B14" t="s">
        <v>30</v>
      </c>
      <c r="C14">
        <v>4</v>
      </c>
      <c r="D14">
        <v>1</v>
      </c>
      <c r="E14" s="8">
        <f>WORKDAY(MAX(F8),1,Holidays!A:A)</f>
        <v>44350</v>
      </c>
      <c r="F14" s="8">
        <f>WORKDAY(E14,D14,Holidays!A:A)</f>
        <v>44351</v>
      </c>
    </row>
    <row r="15" spans="1:6" x14ac:dyDescent="0.15">
      <c r="A15">
        <v>11</v>
      </c>
      <c r="B15" t="s">
        <v>31</v>
      </c>
      <c r="C15">
        <v>5</v>
      </c>
      <c r="D15">
        <v>1</v>
      </c>
      <c r="E15" s="8">
        <f>WORKDAY(MAX(F9),1,Holidays!A:A)</f>
        <v>44350</v>
      </c>
      <c r="F15" s="8">
        <f>WORKDAY(E15,D15,Holidays!A:A)</f>
        <v>44351</v>
      </c>
    </row>
    <row r="16" spans="1:6" x14ac:dyDescent="0.15">
      <c r="A16">
        <v>12</v>
      </c>
      <c r="B16" t="s">
        <v>32</v>
      </c>
      <c r="C16">
        <v>6</v>
      </c>
      <c r="D16">
        <v>1</v>
      </c>
      <c r="E16" s="8">
        <f>WORKDAY(MAX(F10),1,Holidays!A:A)</f>
        <v>44350</v>
      </c>
      <c r="F16" s="8">
        <f>WORKDAY(E16,D16,Holidays!A:A)</f>
        <v>44351</v>
      </c>
    </row>
    <row r="17" spans="1:6" x14ac:dyDescent="0.15">
      <c r="A17">
        <v>13</v>
      </c>
      <c r="B17" t="s">
        <v>28</v>
      </c>
      <c r="C17">
        <v>6</v>
      </c>
      <c r="D17">
        <v>1</v>
      </c>
      <c r="E17" s="8">
        <f>WORKDAY(MAX(F10),1,Holidays!A:A)</f>
        <v>44350</v>
      </c>
      <c r="F17" s="8">
        <f>WORKDAY(E17,D17,Holidays!A:A)</f>
        <v>44351</v>
      </c>
    </row>
    <row r="18" spans="1:6" x14ac:dyDescent="0.15">
      <c r="A18">
        <v>14</v>
      </c>
      <c r="B18" t="s">
        <v>37</v>
      </c>
      <c r="C18" t="s">
        <v>42</v>
      </c>
      <c r="D18">
        <v>1</v>
      </c>
      <c r="E18" s="8">
        <f>WORKDAY(MAX(F11,F12,F13,F14,F15,F16,F17),1,Holidays!A:A)</f>
        <v>44354</v>
      </c>
      <c r="F18" s="8">
        <f>WORKDAY(E18,D18,Holidays!A:A)</f>
        <v>44355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TaskList</vt:lpstr>
      <vt:lpstr>Draw</vt:lpstr>
      <vt:lpstr>Schedule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2021-05-27T15:49:18Z</dcterms:modified>
</cp:coreProperties>
</file>