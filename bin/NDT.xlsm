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1"/>
  </bookViews>
  <sheets>
    <sheet name="Schedule" sheetId="3" r:id="rId1"/>
    <sheet name="Draw" sheetId="1" r:id="rId2"/>
    <sheet name="Icon" sheetId="5" r:id="rId3"/>
    <sheet name="Holidays" sheetId="4" r:id="rId4"/>
  </sheets>
  <functionGroups builtInGroupCount="18"/>
  <definedNames>
    <definedName name="_xlnm._FilterDatabase" localSheetId="0" hidden="1">Schedule!$A$3:$J$15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7" i="3" s="1"/>
  <c r="F7" i="3" s="1"/>
  <c r="E9" i="3" s="1"/>
  <c r="F9" i="3" s="1"/>
  <c r="E12" i="3" s="1"/>
  <c r="F12" i="3" s="1"/>
  <c r="E5" i="3" l="1"/>
  <c r="F5" i="3" s="1"/>
  <c r="E6" i="3"/>
  <c r="F6" i="3" s="1"/>
  <c r="E8" i="3" l="1"/>
  <c r="F8" i="3" s="1"/>
  <c r="E10" i="3" s="1"/>
  <c r="F10" i="3" s="1"/>
  <c r="E11" i="3" s="1"/>
  <c r="F11" i="3" s="1"/>
  <c r="E13" i="3" s="1"/>
  <c r="F13" i="3" s="1"/>
  <c r="E14" i="3" s="1"/>
  <c r="F14" i="3" s="1"/>
  <c r="E15" i="3" s="1"/>
  <c r="F15" i="3" s="1"/>
</calcChain>
</file>

<file path=xl/sharedStrings.xml><?xml version="1.0" encoding="utf-8"?>
<sst xmlns="http://schemas.openxmlformats.org/spreadsheetml/2006/main" count="45" uniqueCount="45">
  <si>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</si>
  <si>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</si>
  <si>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</si>
  <si>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</si>
  <si>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</si>
  <si>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</si>
  <si>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</si>
  <si>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</si>
  <si>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</si>
  <si>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</si>
  <si>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</si>
  <si>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</si>
  <si>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Assign To</t>
    <phoneticPr fontId="1"/>
  </si>
  <si>
    <t>Start Offset</t>
    <phoneticPr fontId="1"/>
  </si>
  <si>
    <t>Wait for day of the week</t>
    <phoneticPr fontId="1"/>
  </si>
  <si>
    <t>Shape Object Name</t>
    <phoneticPr fontId="1"/>
  </si>
  <si>
    <t>xx</t>
    <phoneticPr fontId="1"/>
  </si>
  <si>
    <t>Drawシートでタスクをプロットして配置する</t>
    <phoneticPr fontId="1"/>
  </si>
  <si>
    <t>Scheduleシートにスケジュールをプロット</t>
    <phoneticPr fontId="1"/>
  </si>
  <si>
    <t>4,5</t>
    <phoneticPr fontId="1"/>
  </si>
  <si>
    <t>END</t>
    <phoneticPr fontId="1"/>
  </si>
  <si>
    <t>1,2,3</t>
    <phoneticPr fontId="1"/>
  </si>
  <si>
    <t>ddd</t>
    <phoneticPr fontId="1"/>
  </si>
  <si>
    <t>START</t>
    <phoneticPr fontId="1"/>
  </si>
  <si>
    <t>思いつくままにScheduleシートにタスクを追加</t>
    <phoneticPr fontId="1"/>
  </si>
  <si>
    <t>タスク同士をコネクトする</t>
    <phoneticPr fontId="1"/>
  </si>
  <si>
    <t>タスクのナンバリング</t>
    <phoneticPr fontId="1"/>
  </si>
  <si>
    <t>AAA</t>
    <phoneticPr fontId="1"/>
  </si>
  <si>
    <t>ENDaa</t>
    <phoneticPr fontId="1"/>
  </si>
  <si>
    <t>c</t>
    <phoneticPr fontId="1"/>
  </si>
  <si>
    <t>7,8</t>
    <phoneticPr fontId="1"/>
  </si>
  <si>
    <t>Don't remove these icons. This is referred from Macro.</t>
    <phoneticPr fontId="1"/>
  </si>
  <si>
    <t>Oval 22</t>
    <phoneticPr fontId="1"/>
  </si>
  <si>
    <t>Oval 23</t>
    <phoneticPr fontId="1"/>
  </si>
  <si>
    <t>Oval 24</t>
    <phoneticPr fontId="1"/>
  </si>
  <si>
    <t>Oval 25</t>
    <phoneticPr fontId="1"/>
  </si>
  <si>
    <t>Oval 26</t>
    <phoneticPr fontId="1"/>
  </si>
  <si>
    <t>Oval 27</t>
    <phoneticPr fontId="1"/>
  </si>
  <si>
    <t>Oval 28</t>
    <phoneticPr fontId="1"/>
  </si>
  <si>
    <t>Oval 29</t>
    <phoneticPr fontId="1"/>
  </si>
  <si>
    <t>Oval 30</t>
    <phoneticPr fontId="1"/>
  </si>
  <si>
    <t>Oval 1023</t>
    <phoneticPr fontId="1"/>
  </si>
  <si>
    <t>Oval 1024</t>
    <phoneticPr fontId="1"/>
  </si>
  <si>
    <t>Oval 1025</t>
    <phoneticPr fontId="1"/>
  </si>
  <si>
    <t>Status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</si>
</sst>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yyyy/m/d\ \(aaa\)"/>
  </numFmts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</fills>
  <borders count="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0" borderId="0" xfId="0" applyAlignment="1">
      <alignment horizontal="righ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4" borderId="0" xfId="0" applyFill="1">
      <alignment vertical="center"/>
    </xf>
    <xf numFmtId="0" fontId="7" fillId="0" borderId="0" xfId="0" applyFont="1">
      <alignment vertical="center"/>
    </xf>
    <xf numFmtId="0" fontId="0" fillId="2" borderId="2" xfId="0" applyFill="1" applyBorder="1">
      <alignment vertical="center"/>
    </xf>
    <xf numFmtId="0" fontId="0" fillId="2" borderId="3" xfId="0" applyFill="1" applyBorder="1">
      <alignment vertic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66FF66"/>
      <color rgb="FFC0C0C0"/>
      <color rgb="FFDDDDDD"/>
      <color rgb="FFEAEAEA"/>
      <color rgb="FF7CDA8E"/>
      <color rgb="FFC4F4C6"/>
      <color rgb="FFA1E884"/>
      <color rgb="FF00CC66"/>
      <color rgb="FF33CC33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6397776"/>
        <c:axId val="496393072"/>
      </c:barChart>
      <c:catAx>
        <c:axId val="4963977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6393072"/>
        <c:crosses val="autoZero"/>
        <c:auto val="1"/>
        <c:lblAlgn val="ctr"/>
        <c:lblOffset val="100"/>
        <c:noMultiLvlLbl val="0"/>
      </c:catAx>
      <c:valAx>
        <c:axId val="49639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639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356504"/>
        <c:axId val="498351016"/>
      </c:barChart>
      <c:catAx>
        <c:axId val="4983565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351016"/>
        <c:crosses val="autoZero"/>
        <c:auto val="1"/>
        <c:lblAlgn val="ctr"/>
        <c:lblOffset val="100"/>
        <c:noMultiLvlLbl val="0"/>
      </c:catAx>
      <c:valAx>
        <c:axId val="498351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98356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123825</xdr:colOff>
          <xdr:row>0</xdr:row>
          <xdr:rowOff>114300</xdr:rowOff>
        </xdr:from>
        <xdr:to>
          <xdr:col>6</xdr:col>
          <xdr:colOff>733425</xdr:colOff>
          <xdr:row>0</xdr:row>
          <xdr:rowOff>476250</xdr:rowOff>
        </xdr:to>
        <xdr:sp macro="" textlink="">
          <xdr:nvSpPr>
            <xdr:cNvPr id="2050" name="Btn_FillDefaul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Fill Default Duration and Start Offset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tn_RemoveAllShaps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tn_PlotTask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tn_OrderNodeVertica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tn_FindDisconnection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tn_ConnectStreight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tn_ConnectSpl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tn_ConnectMarge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tn_SwapNodeLocatio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tn_RemoveConnections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tn_NumberingNodes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tn_DeNumberingAllNodes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190500</xdr:colOff>
          <xdr:row>1</xdr:row>
          <xdr:rowOff>66675</xdr:rowOff>
        </xdr:from>
        <xdr:to>
          <xdr:col>5</xdr:col>
          <xdr:colOff>1619250</xdr:colOff>
          <xdr:row>4</xdr:row>
          <xdr:rowOff>104775</xdr:rowOff>
        </xdr:to>
        <xdr:sp macro="" textlink="">
          <xdr:nvSpPr>
            <xdr:cNvPr id="1041" name="Btn_SetCompletedIcon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Completed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171450</xdr:colOff>
          <xdr:row>5</xdr:row>
          <xdr:rowOff>66675</xdr:rowOff>
        </xdr:from>
        <xdr:to>
          <xdr:col>5</xdr:col>
          <xdr:colOff>1600200</xdr:colOff>
          <xdr:row>8</xdr:row>
          <xdr:rowOff>104775</xdr:rowOff>
        </xdr:to>
        <xdr:sp macro="" textlink="">
          <xdr:nvSpPr>
            <xdr:cNvPr id="1042" name="Btn_SetCancelledIcon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Cancelled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95250</xdr:colOff>
          <xdr:row>1</xdr:row>
          <xdr:rowOff>66675</xdr:rowOff>
        </xdr:from>
        <xdr:to>
          <xdr:col>6</xdr:col>
          <xdr:colOff>1524000</xdr:colOff>
          <xdr:row>4</xdr:row>
          <xdr:rowOff>104775</xdr:rowOff>
        </xdr:to>
        <xdr:sp macro="" textlink="">
          <xdr:nvSpPr>
            <xdr:cNvPr id="1043" name="Btn_ClearIco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Clear Icon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450850</xdr:colOff>
      <xdr:row>17</xdr:row>
      <xdr:rowOff>107950</xdr:rowOff>
    </xdr:from>
    <xdr:to>
      <xdr:col>0</xdr:col>
      <xdr:colOff>1212850</xdr:colOff>
      <xdr:row>22</xdr:row>
      <xdr:rowOff>12700</xdr:rowOff>
    </xdr:to>
    <xdr:sp macro="" textlink="">
      <xdr:nvSpPr>
        <xdr:cNvPr id="23" name="円/楕円 22"/>
        <xdr:cNvSpPr/>
      </xdr:nvSpPr>
      <xdr:spPr>
        <a:xfrm>
          <a:off x="450850" y="4022725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139700</xdr:colOff>
      <xdr:row>12</xdr:row>
      <xdr:rowOff>107950</xdr:rowOff>
    </xdr:from>
    <xdr:to>
      <xdr:col>1</xdr:col>
      <xdr:colOff>901700</xdr:colOff>
      <xdr:row>17</xdr:row>
      <xdr:rowOff>12700</xdr:rowOff>
    </xdr:to>
    <xdr:sp macro="" textlink="">
      <xdr:nvSpPr>
        <xdr:cNvPr id="24" name="円/楕円 23"/>
        <xdr:cNvSpPr/>
      </xdr:nvSpPr>
      <xdr:spPr>
        <a:xfrm>
          <a:off x="2073275" y="2136775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1.Dra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w</a:t>
          </a:r>
          <a:r>
            <a:rPr kumimoji="1" lang="ja-JP" altLang="en-US" sz="1100">
              <a:solidFill>
                <a:srgbClr val="000000"/>
              </a:solidFill>
            </a:rPr>
            <a:t>シートで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タスクをプ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ロットして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配置する</a:t>
          </a:r>
        </a:p>
      </xdr:txBody>
    </xdr:sp>
    <xdr:clientData/>
  </xdr:twoCellAnchor>
  <xdr:twoCellAnchor>
    <xdr:from>
      <xdr:col>1</xdr:col>
      <xdr:colOff>139700</xdr:colOff>
      <xdr:row>18</xdr:row>
      <xdr:rowOff>95250</xdr:rowOff>
    </xdr:from>
    <xdr:to>
      <xdr:col>1</xdr:col>
      <xdr:colOff>901700</xdr:colOff>
      <xdr:row>23</xdr:row>
      <xdr:rowOff>0</xdr:rowOff>
    </xdr:to>
    <xdr:sp macro="" textlink="">
      <xdr:nvSpPr>
        <xdr:cNvPr id="25" name="円/楕円 24"/>
        <xdr:cNvSpPr/>
      </xdr:nvSpPr>
      <xdr:spPr>
        <a:xfrm>
          <a:off x="2073275" y="3152775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思いつく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ままに</a:t>
          </a:r>
          <a:r>
            <a:rPr kumimoji="1" lang="arn-CL" altLang="ja-JP" sz="1100">
              <a:solidFill>
                <a:srgbClr val="000000"/>
              </a:solidFill>
            </a:rPr>
            <a:t>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  <a:r>
            <a:rPr kumimoji="1" lang="ja-JP" altLang="en-US" sz="1100">
              <a:solidFill>
                <a:srgbClr val="000000"/>
              </a:solidFill>
            </a:rPr>
            <a:t>シ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ートにタスク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を追加</a:t>
          </a:r>
        </a:p>
      </xdr:txBody>
    </xdr:sp>
    <xdr:clientData/>
  </xdr:twoCellAnchor>
  <xdr:twoCellAnchor>
    <xdr:from>
      <xdr:col>1</xdr:col>
      <xdr:colOff>139700</xdr:colOff>
      <xdr:row>24</xdr:row>
      <xdr:rowOff>82550</xdr:rowOff>
    </xdr:from>
    <xdr:to>
      <xdr:col>1</xdr:col>
      <xdr:colOff>901700</xdr:colOff>
      <xdr:row>28</xdr:row>
      <xdr:rowOff>158750</xdr:rowOff>
    </xdr:to>
    <xdr:sp macro="" textlink="">
      <xdr:nvSpPr>
        <xdr:cNvPr id="26" name="円/楕円 25"/>
        <xdr:cNvSpPr/>
      </xdr:nvSpPr>
      <xdr:spPr>
        <a:xfrm>
          <a:off x="2073275" y="4168775"/>
          <a:ext cx="762000" cy="76200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同士をコネ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クトする</a:t>
          </a:r>
        </a:p>
      </xdr:txBody>
    </xdr:sp>
    <xdr:clientData/>
  </xdr:twoCellAnchor>
  <xdr:twoCellAnchor>
    <xdr:from>
      <xdr:col>1</xdr:col>
      <xdr:colOff>139700</xdr:colOff>
      <xdr:row>30</xdr:row>
      <xdr:rowOff>69850</xdr:rowOff>
    </xdr:from>
    <xdr:to>
      <xdr:col>1</xdr:col>
      <xdr:colOff>901700</xdr:colOff>
      <xdr:row>34</xdr:row>
      <xdr:rowOff>146050</xdr:rowOff>
    </xdr:to>
    <xdr:sp macro="" textlink="">
      <xdr:nvSpPr>
        <xdr:cNvPr id="27" name="円/楕円 26"/>
        <xdr:cNvSpPr/>
      </xdr:nvSpPr>
      <xdr:spPr>
        <a:xfrm>
          <a:off x="2073275" y="5184775"/>
          <a:ext cx="762000" cy="762000"/>
        </a:xfrm>
        <a:prstGeom prst="ellipse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タスク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のナンバリ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ング</a:t>
          </a:r>
        </a:p>
      </xdr:txBody>
    </xdr:sp>
    <xdr:clientData/>
  </xdr:twoCellAnchor>
  <xdr:twoCellAnchor>
    <xdr:from>
      <xdr:col>1</xdr:col>
      <xdr:colOff>1543050</xdr:colOff>
      <xdr:row>15</xdr:row>
      <xdr:rowOff>79375</xdr:rowOff>
    </xdr:from>
    <xdr:to>
      <xdr:col>2</xdr:col>
      <xdr:colOff>485775</xdr:colOff>
      <xdr:row>19</xdr:row>
      <xdr:rowOff>155575</xdr:rowOff>
    </xdr:to>
    <xdr:sp macro="" textlink="">
      <xdr:nvSpPr>
        <xdr:cNvPr id="28" name="円/楕円 27"/>
        <xdr:cNvSpPr/>
      </xdr:nvSpPr>
      <xdr:spPr>
        <a:xfrm>
          <a:off x="3476625" y="3651250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5.Sch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edule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シートにス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ケジュール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をプロット</a:t>
          </a:r>
        </a:p>
      </xdr:txBody>
    </xdr:sp>
    <xdr:clientData/>
  </xdr:twoCellAnchor>
  <xdr:twoCellAnchor>
    <xdr:from>
      <xdr:col>1</xdr:col>
      <xdr:colOff>1543050</xdr:colOff>
      <xdr:row>21</xdr:row>
      <xdr:rowOff>66675</xdr:rowOff>
    </xdr:from>
    <xdr:to>
      <xdr:col>2</xdr:col>
      <xdr:colOff>485775</xdr:colOff>
      <xdr:row>25</xdr:row>
      <xdr:rowOff>142875</xdr:rowOff>
    </xdr:to>
    <xdr:sp macro="" textlink="">
      <xdr:nvSpPr>
        <xdr:cNvPr id="29" name="円/楕円 28"/>
        <xdr:cNvSpPr/>
      </xdr:nvSpPr>
      <xdr:spPr>
        <a:xfrm>
          <a:off x="3476625" y="4667250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6.AAA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1543050</xdr:colOff>
      <xdr:row>27</xdr:row>
      <xdr:rowOff>53975</xdr:rowOff>
    </xdr:from>
    <xdr:to>
      <xdr:col>2</xdr:col>
      <xdr:colOff>485775</xdr:colOff>
      <xdr:row>31</xdr:row>
      <xdr:rowOff>130175</xdr:rowOff>
    </xdr:to>
    <xdr:sp macro="" textlink="">
      <xdr:nvSpPr>
        <xdr:cNvPr id="30" name="円/楕円 29"/>
        <xdr:cNvSpPr/>
      </xdr:nvSpPr>
      <xdr:spPr>
        <a:xfrm>
          <a:off x="3476625" y="5683250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7.END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aa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1085850</xdr:colOff>
      <xdr:row>21</xdr:row>
      <xdr:rowOff>107950</xdr:rowOff>
    </xdr:from>
    <xdr:to>
      <xdr:col>2</xdr:col>
      <xdr:colOff>1847850</xdr:colOff>
      <xdr:row>26</xdr:row>
      <xdr:rowOff>12700</xdr:rowOff>
    </xdr:to>
    <xdr:sp macro="" textlink="">
      <xdr:nvSpPr>
        <xdr:cNvPr id="31" name="円/楕円 30"/>
        <xdr:cNvSpPr/>
      </xdr:nvSpPr>
      <xdr:spPr>
        <a:xfrm>
          <a:off x="4838700" y="4708525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8.xx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2098675</xdr:colOff>
      <xdr:row>21</xdr:row>
      <xdr:rowOff>107950</xdr:rowOff>
    </xdr:from>
    <xdr:to>
      <xdr:col>2</xdr:col>
      <xdr:colOff>2860675</xdr:colOff>
      <xdr:row>26</xdr:row>
      <xdr:rowOff>12700</xdr:rowOff>
    </xdr:to>
    <xdr:sp macro="" textlink="">
      <xdr:nvSpPr>
        <xdr:cNvPr id="1024" name="円/楕円 1023"/>
        <xdr:cNvSpPr/>
      </xdr:nvSpPr>
      <xdr:spPr>
        <a:xfrm>
          <a:off x="5851525" y="4708525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9.c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3121025</xdr:colOff>
      <xdr:row>21</xdr:row>
      <xdr:rowOff>98425</xdr:rowOff>
    </xdr:from>
    <xdr:to>
      <xdr:col>3</xdr:col>
      <xdr:colOff>377825</xdr:colOff>
      <xdr:row>26</xdr:row>
      <xdr:rowOff>3175</xdr:rowOff>
    </xdr:to>
    <xdr:sp macro="" textlink="">
      <xdr:nvSpPr>
        <xdr:cNvPr id="1025" name="円/楕円 1024"/>
        <xdr:cNvSpPr/>
      </xdr:nvSpPr>
      <xdr:spPr>
        <a:xfrm>
          <a:off x="6873875" y="4699000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10.dd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3</xdr:col>
      <xdr:colOff>895350</xdr:colOff>
      <xdr:row>21</xdr:row>
      <xdr:rowOff>107950</xdr:rowOff>
    </xdr:from>
    <xdr:to>
      <xdr:col>3</xdr:col>
      <xdr:colOff>1657350</xdr:colOff>
      <xdr:row>26</xdr:row>
      <xdr:rowOff>12700</xdr:rowOff>
    </xdr:to>
    <xdr:sp macro="" textlink="">
      <xdr:nvSpPr>
        <xdr:cNvPr id="1026" name="円/楕円 1025"/>
        <xdr:cNvSpPr/>
      </xdr:nvSpPr>
      <xdr:spPr>
        <a:xfrm>
          <a:off x="8153400" y="4708525"/>
          <a:ext cx="762000" cy="762000"/>
        </a:xfrm>
        <a:prstGeom prst="ellipse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11.EN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1212850</xdr:colOff>
      <xdr:row>14</xdr:row>
      <xdr:rowOff>146050</xdr:rowOff>
    </xdr:from>
    <xdr:to>
      <xdr:col>1</xdr:col>
      <xdr:colOff>139700</xdr:colOff>
      <xdr:row>19</xdr:row>
      <xdr:rowOff>146050</xdr:rowOff>
    </xdr:to>
    <xdr:cxnSp macro="">
      <xdr:nvCxnSpPr>
        <xdr:cNvPr id="1045" name="直線矢印コネクタ 1044"/>
        <xdr:cNvCxnSpPr>
          <a:stCxn id="23" idx="6"/>
          <a:endCxn id="24" idx="2"/>
        </xdr:cNvCxnSpPr>
      </xdr:nvCxnSpPr>
      <xdr:spPr>
        <a:xfrm flipV="1">
          <a:off x="1212850" y="2517775"/>
          <a:ext cx="860425" cy="857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1212850</xdr:colOff>
      <xdr:row>19</xdr:row>
      <xdr:rowOff>146050</xdr:rowOff>
    </xdr:from>
    <xdr:to>
      <xdr:col>1</xdr:col>
      <xdr:colOff>139700</xdr:colOff>
      <xdr:row>20</xdr:row>
      <xdr:rowOff>133350</xdr:rowOff>
    </xdr:to>
    <xdr:cxnSp macro="">
      <xdr:nvCxnSpPr>
        <xdr:cNvPr id="1046" name="直線矢印コネクタ 1045"/>
        <xdr:cNvCxnSpPr>
          <a:stCxn id="23" idx="6"/>
          <a:endCxn id="25" idx="2"/>
        </xdr:cNvCxnSpPr>
      </xdr:nvCxnSpPr>
      <xdr:spPr>
        <a:xfrm>
          <a:off x="1212850" y="3375025"/>
          <a:ext cx="860425" cy="158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1212850</xdr:colOff>
      <xdr:row>19</xdr:row>
      <xdr:rowOff>146050</xdr:rowOff>
    </xdr:from>
    <xdr:to>
      <xdr:col>1</xdr:col>
      <xdr:colOff>139700</xdr:colOff>
      <xdr:row>26</xdr:row>
      <xdr:rowOff>120650</xdr:rowOff>
    </xdr:to>
    <xdr:cxnSp macro="">
      <xdr:nvCxnSpPr>
        <xdr:cNvPr id="1047" name="直線矢印コネクタ 1046"/>
        <xdr:cNvCxnSpPr>
          <a:stCxn id="23" idx="6"/>
          <a:endCxn id="26" idx="2"/>
        </xdr:cNvCxnSpPr>
      </xdr:nvCxnSpPr>
      <xdr:spPr>
        <a:xfrm>
          <a:off x="1212850" y="3375025"/>
          <a:ext cx="860425" cy="1174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1212850</xdr:colOff>
      <xdr:row>19</xdr:row>
      <xdr:rowOff>146050</xdr:rowOff>
    </xdr:from>
    <xdr:to>
      <xdr:col>1</xdr:col>
      <xdr:colOff>139700</xdr:colOff>
      <xdr:row>32</xdr:row>
      <xdr:rowOff>107950</xdr:rowOff>
    </xdr:to>
    <xdr:cxnSp macro="">
      <xdr:nvCxnSpPr>
        <xdr:cNvPr id="1048" name="直線矢印コネクタ 1047"/>
        <xdr:cNvCxnSpPr>
          <a:stCxn id="23" idx="6"/>
          <a:endCxn id="27" idx="2"/>
        </xdr:cNvCxnSpPr>
      </xdr:nvCxnSpPr>
      <xdr:spPr>
        <a:xfrm>
          <a:off x="1212850" y="3375025"/>
          <a:ext cx="860425" cy="2190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901700</xdr:colOff>
      <xdr:row>14</xdr:row>
      <xdr:rowOff>146050</xdr:rowOff>
    </xdr:from>
    <xdr:to>
      <xdr:col>1</xdr:col>
      <xdr:colOff>1543050</xdr:colOff>
      <xdr:row>17</xdr:row>
      <xdr:rowOff>117475</xdr:rowOff>
    </xdr:to>
    <xdr:cxnSp macro="">
      <xdr:nvCxnSpPr>
        <xdr:cNvPr id="1050" name="直線矢印コネクタ 1049"/>
        <xdr:cNvCxnSpPr>
          <a:stCxn id="24" idx="6"/>
          <a:endCxn id="28" idx="2"/>
        </xdr:cNvCxnSpPr>
      </xdr:nvCxnSpPr>
      <xdr:spPr>
        <a:xfrm>
          <a:off x="2835275" y="3546475"/>
          <a:ext cx="641350" cy="4857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901700</xdr:colOff>
      <xdr:row>17</xdr:row>
      <xdr:rowOff>117475</xdr:rowOff>
    </xdr:from>
    <xdr:to>
      <xdr:col>1</xdr:col>
      <xdr:colOff>1543050</xdr:colOff>
      <xdr:row>20</xdr:row>
      <xdr:rowOff>133350</xdr:rowOff>
    </xdr:to>
    <xdr:cxnSp macro="">
      <xdr:nvCxnSpPr>
        <xdr:cNvPr id="1051" name="直線矢印コネクタ 1050"/>
        <xdr:cNvCxnSpPr>
          <a:stCxn id="25" idx="6"/>
          <a:endCxn id="28" idx="2"/>
        </xdr:cNvCxnSpPr>
      </xdr:nvCxnSpPr>
      <xdr:spPr>
        <a:xfrm flipV="1">
          <a:off x="2835275" y="4032250"/>
          <a:ext cx="641350" cy="530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901700</xdr:colOff>
      <xdr:row>26</xdr:row>
      <xdr:rowOff>120650</xdr:rowOff>
    </xdr:from>
    <xdr:to>
      <xdr:col>1</xdr:col>
      <xdr:colOff>1543050</xdr:colOff>
      <xdr:row>29</xdr:row>
      <xdr:rowOff>92075</xdr:rowOff>
    </xdr:to>
    <xdr:cxnSp macro="">
      <xdr:nvCxnSpPr>
        <xdr:cNvPr id="1052" name="直線矢印コネクタ 1051"/>
        <xdr:cNvCxnSpPr>
          <a:stCxn id="26" idx="6"/>
          <a:endCxn id="30" idx="2"/>
        </xdr:cNvCxnSpPr>
      </xdr:nvCxnSpPr>
      <xdr:spPr>
        <a:xfrm>
          <a:off x="2835275" y="5578475"/>
          <a:ext cx="641350" cy="4857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901700</xdr:colOff>
      <xdr:row>29</xdr:row>
      <xdr:rowOff>92075</xdr:rowOff>
    </xdr:from>
    <xdr:to>
      <xdr:col>1</xdr:col>
      <xdr:colOff>1543050</xdr:colOff>
      <xdr:row>32</xdr:row>
      <xdr:rowOff>107950</xdr:rowOff>
    </xdr:to>
    <xdr:cxnSp macro="">
      <xdr:nvCxnSpPr>
        <xdr:cNvPr id="1053" name="直線矢印コネクタ 1052"/>
        <xdr:cNvCxnSpPr>
          <a:stCxn id="27" idx="6"/>
          <a:endCxn id="30" idx="2"/>
        </xdr:cNvCxnSpPr>
      </xdr:nvCxnSpPr>
      <xdr:spPr>
        <a:xfrm flipV="1">
          <a:off x="2835275" y="6064250"/>
          <a:ext cx="641350" cy="530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901700</xdr:colOff>
      <xdr:row>20</xdr:row>
      <xdr:rowOff>133350</xdr:rowOff>
    </xdr:from>
    <xdr:to>
      <xdr:col>1</xdr:col>
      <xdr:colOff>1543050</xdr:colOff>
      <xdr:row>23</xdr:row>
      <xdr:rowOff>104775</xdr:rowOff>
    </xdr:to>
    <xdr:cxnSp macro="">
      <xdr:nvCxnSpPr>
        <xdr:cNvPr id="1054" name="直線矢印コネクタ 1053"/>
        <xdr:cNvCxnSpPr>
          <a:stCxn id="25" idx="6"/>
          <a:endCxn id="29" idx="2"/>
        </xdr:cNvCxnSpPr>
      </xdr:nvCxnSpPr>
      <xdr:spPr>
        <a:xfrm>
          <a:off x="2835275" y="4562475"/>
          <a:ext cx="641350" cy="4857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17</xdr:row>
      <xdr:rowOff>117475</xdr:rowOff>
    </xdr:from>
    <xdr:to>
      <xdr:col>2</xdr:col>
      <xdr:colOff>1085850</xdr:colOff>
      <xdr:row>23</xdr:row>
      <xdr:rowOff>146050</xdr:rowOff>
    </xdr:to>
    <xdr:cxnSp macro="">
      <xdr:nvCxnSpPr>
        <xdr:cNvPr id="1055" name="直線矢印コネクタ 1054"/>
        <xdr:cNvCxnSpPr>
          <a:stCxn id="28" idx="6"/>
          <a:endCxn id="31" idx="2"/>
        </xdr:cNvCxnSpPr>
      </xdr:nvCxnSpPr>
      <xdr:spPr>
        <a:xfrm>
          <a:off x="4238625" y="4032250"/>
          <a:ext cx="600075" cy="1057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23</xdr:row>
      <xdr:rowOff>104775</xdr:rowOff>
    </xdr:from>
    <xdr:to>
      <xdr:col>2</xdr:col>
      <xdr:colOff>1085850</xdr:colOff>
      <xdr:row>23</xdr:row>
      <xdr:rowOff>146050</xdr:rowOff>
    </xdr:to>
    <xdr:cxnSp macro="">
      <xdr:nvCxnSpPr>
        <xdr:cNvPr id="1056" name="直線矢印コネクタ 1055"/>
        <xdr:cNvCxnSpPr>
          <a:stCxn id="29" idx="6"/>
          <a:endCxn id="31" idx="2"/>
        </xdr:cNvCxnSpPr>
      </xdr:nvCxnSpPr>
      <xdr:spPr>
        <a:xfrm>
          <a:off x="4238625" y="5048250"/>
          <a:ext cx="600075" cy="4127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485775</xdr:colOff>
      <xdr:row>23</xdr:row>
      <xdr:rowOff>146050</xdr:rowOff>
    </xdr:from>
    <xdr:to>
      <xdr:col>2</xdr:col>
      <xdr:colOff>1085850</xdr:colOff>
      <xdr:row>29</xdr:row>
      <xdr:rowOff>92075</xdr:rowOff>
    </xdr:to>
    <xdr:cxnSp macro="">
      <xdr:nvCxnSpPr>
        <xdr:cNvPr id="1057" name="直線矢印コネクタ 1056"/>
        <xdr:cNvCxnSpPr>
          <a:stCxn id="30" idx="6"/>
          <a:endCxn id="31" idx="2"/>
        </xdr:cNvCxnSpPr>
      </xdr:nvCxnSpPr>
      <xdr:spPr>
        <a:xfrm flipV="1">
          <a:off x="4238625" y="5089525"/>
          <a:ext cx="600075" cy="9747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1847850</xdr:colOff>
      <xdr:row>23</xdr:row>
      <xdr:rowOff>146050</xdr:rowOff>
    </xdr:from>
    <xdr:to>
      <xdr:col>2</xdr:col>
      <xdr:colOff>2098675</xdr:colOff>
      <xdr:row>23</xdr:row>
      <xdr:rowOff>146050</xdr:rowOff>
    </xdr:to>
    <xdr:cxnSp macro="">
      <xdr:nvCxnSpPr>
        <xdr:cNvPr id="1058" name="直線矢印コネクタ 1057"/>
        <xdr:cNvCxnSpPr>
          <a:stCxn id="31" idx="6"/>
          <a:endCxn id="1024" idx="2"/>
        </xdr:cNvCxnSpPr>
      </xdr:nvCxnSpPr>
      <xdr:spPr>
        <a:xfrm>
          <a:off x="5600700" y="5089525"/>
          <a:ext cx="250825" cy="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2860675</xdr:colOff>
      <xdr:row>23</xdr:row>
      <xdr:rowOff>136525</xdr:rowOff>
    </xdr:from>
    <xdr:to>
      <xdr:col>2</xdr:col>
      <xdr:colOff>3121025</xdr:colOff>
      <xdr:row>23</xdr:row>
      <xdr:rowOff>146050</xdr:rowOff>
    </xdr:to>
    <xdr:cxnSp macro="">
      <xdr:nvCxnSpPr>
        <xdr:cNvPr id="1059" name="直線矢印コネクタ 1058"/>
        <xdr:cNvCxnSpPr>
          <a:stCxn id="1024" idx="6"/>
          <a:endCxn id="1025" idx="2"/>
        </xdr:cNvCxnSpPr>
      </xdr:nvCxnSpPr>
      <xdr:spPr>
        <a:xfrm flipV="1">
          <a:off x="6613525" y="5080000"/>
          <a:ext cx="260350" cy="9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377825</xdr:colOff>
      <xdr:row>23</xdr:row>
      <xdr:rowOff>136525</xdr:rowOff>
    </xdr:from>
    <xdr:to>
      <xdr:col>3</xdr:col>
      <xdr:colOff>895350</xdr:colOff>
      <xdr:row>23</xdr:row>
      <xdr:rowOff>146050</xdr:rowOff>
    </xdr:to>
    <xdr:cxnSp macro="">
      <xdr:nvCxnSpPr>
        <xdr:cNvPr id="1066" name="直線矢印コネクタ 1065"/>
        <xdr:cNvCxnSpPr>
          <a:stCxn id="1025" idx="6"/>
          <a:endCxn id="1026" idx="2"/>
        </xdr:cNvCxnSpPr>
      </xdr:nvCxnSpPr>
      <xdr:spPr>
        <a:xfrm>
          <a:off x="7635875" y="5080000"/>
          <a:ext cx="517525" cy="9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252411</xdr:colOff>
      <xdr:row>2</xdr:row>
      <xdr:rowOff>90484</xdr:rowOff>
    </xdr:from>
    <xdr:to>
      <xdr:col>5</xdr:col>
      <xdr:colOff>423411</xdr:colOff>
      <xdr:row>23</xdr:row>
      <xdr:rowOff>90034</xdr:rowOff>
    </xdr:to>
    <xdr:graphicFrame macro="">
      <xdr:nvGraphicFramePr>
        <xdr:cNvPr id="2" name="CompletedIc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633411</xdr:colOff>
      <xdr:row>2</xdr:row>
      <xdr:rowOff>100009</xdr:rowOff>
    </xdr:from>
    <xdr:to>
      <xdr:col>11</xdr:col>
      <xdr:colOff>118611</xdr:colOff>
      <xdr:row>23</xdr:row>
      <xdr:rowOff>99559</xdr:rowOff>
    </xdr:to>
    <xdr:graphicFrame macro="">
      <xdr:nvGraphicFramePr>
        <xdr:cNvPr id="3" name="CancelledIc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正方形/長方形 1"/>
        <cdr:cNvSpPr/>
      </cdr:nvSpPr>
      <cdr:spPr>
        <a:xfrm xmlns:a="http://schemas.openxmlformats.org/drawingml/2006/main">
          <a:off x="0" y="0"/>
          <a:ext cx="3600000" cy="3600000"/>
        </a:xfrm>
        <a:prstGeom xmlns:a="http://schemas.openxmlformats.org/drawingml/2006/main" prst="rect">
          <a:avLst/>
        </a:prstGeom>
        <a:solidFill xmlns:a="http://schemas.openxmlformats.org/drawingml/2006/main">
          <a:srgbClr val="C4F4C6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/>
        </a:p>
      </cdr:txBody>
    </cdr:sp>
  </cdr:relSizeAnchor>
  <cdr:relSizeAnchor xmlns:cdr="http://schemas.openxmlformats.org/drawingml/2006/chartDrawing">
    <cdr:from>
      <cdr:x>0.24285</cdr:x>
      <cdr:y>0.4249</cdr:y>
    </cdr:from>
    <cdr:to>
      <cdr:x>0.90717</cdr:x>
      <cdr:y>0.76706</cdr:y>
    </cdr:to>
    <cdr:grpSp>
      <cdr:nvGrpSpPr>
        <cdr:cNvPr id="6" name="グループ化 5"/>
        <cdr:cNvGrpSpPr/>
      </cdr:nvGrpSpPr>
      <cdr:grpSpPr>
        <a:xfrm xmlns:a="http://schemas.openxmlformats.org/drawingml/2006/main">
          <a:off x="874266" y="1553905"/>
          <a:ext cx="2391532" cy="1251361"/>
          <a:chOff x="854969" y="1762892"/>
          <a:chExt cx="2397705" cy="1235144"/>
        </a:xfrm>
        <a:solidFill xmlns:a="http://schemas.openxmlformats.org/drawingml/2006/main">
          <a:srgbClr val="7CDA8E"/>
        </a:solidFill>
      </cdr:grpSpPr>
      <cdr:sp macro="" textlink="">
        <cdr:nvSpPr>
          <cdr:cNvPr id="3" name="正方形/長方形 2"/>
          <cdr:cNvSpPr/>
        </cdr:nvSpPr>
        <cdr:spPr>
          <a:xfrm xmlns:a="http://schemas.openxmlformats.org/drawingml/2006/main" rot="2878365">
            <a:off x="517420" y="2191279"/>
            <a:ext cx="1144306" cy="469208"/>
          </a:xfrm>
          <a:prstGeom xmlns:a="http://schemas.openxmlformats.org/drawingml/2006/main" prst="rect">
            <a:avLst/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ja-JP"/>
          </a:p>
        </cdr:txBody>
      </cdr:sp>
      <cdr:sp macro="" textlink="">
        <cdr:nvSpPr>
          <cdr:cNvPr id="4" name="正方形/長方形 3"/>
          <cdr:cNvSpPr/>
        </cdr:nvSpPr>
        <cdr:spPr>
          <a:xfrm xmlns:a="http://schemas.openxmlformats.org/drawingml/2006/main" rot="8278365">
            <a:off x="937951" y="1762892"/>
            <a:ext cx="2314723" cy="461935"/>
          </a:xfrm>
          <a:prstGeom xmlns:a="http://schemas.openxmlformats.org/drawingml/2006/main" prst="rect">
            <a:avLst/>
          </a:prstGeom>
          <a:grpFill xmlns:a="http://schemas.openxmlformats.org/drawingml/2006/main"/>
          <a:ln xmlns:a="http://schemas.openxmlformats.org/drawingml/2006/main">
            <a:noFill/>
          </a:ln>
        </cdr:spPr>
        <cdr:style>
          <a:lnRef xmlns:a="http://schemas.openxmlformats.org/drawingml/2006/main" idx="2">
            <a:schemeClr val="accent1">
              <a:shade val="50000"/>
            </a:schemeClr>
          </a:lnRef>
          <a:fillRef xmlns:a="http://schemas.openxmlformats.org/drawingml/2006/main" idx="1">
            <a:schemeClr val="accent1"/>
          </a:fillRef>
          <a:effectRef xmlns:a="http://schemas.openxmlformats.org/drawingml/2006/main" idx="0">
            <a:schemeClr val="accent1"/>
          </a:effectRef>
          <a:fontRef xmlns:a="http://schemas.openxmlformats.org/drawingml/2006/main" idx="minor">
            <a:schemeClr val="lt1"/>
          </a:fontRef>
        </cdr:style>
        <cdr:txBody>
          <a:bodyPr xmlns:a="http://schemas.openxmlformats.org/drawingml/2006/main" vertOverflow="clip"/>
          <a:lstStyle xmlns:a="http://schemas.openxmlformats.org/drawingml/2006/main"/>
          <a:p xmlns:a="http://schemas.openxmlformats.org/drawingml/2006/main">
            <a:endParaRPr lang="ja-JP"/>
          </a:p>
        </cdr:txBody>
      </cdr:sp>
    </cdr:grp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2" name="正方形/長方形 1"/>
        <cdr:cNvSpPr/>
      </cdr:nvSpPr>
      <cdr:spPr>
        <a:xfrm xmlns:a="http://schemas.openxmlformats.org/drawingml/2006/main">
          <a:off x="0" y="0"/>
          <a:ext cx="3600000" cy="3600000"/>
        </a:xfrm>
        <a:prstGeom xmlns:a="http://schemas.openxmlformats.org/drawingml/2006/main" prst="rect">
          <a:avLst/>
        </a:prstGeom>
        <a:solidFill xmlns:a="http://schemas.openxmlformats.org/drawingml/2006/main">
          <a:srgbClr val="EAEAEA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/>
        </a:p>
      </cdr:txBody>
    </cdr:sp>
  </cdr:relSizeAnchor>
  <cdr:relSizeAnchor xmlns:cdr="http://schemas.openxmlformats.org/drawingml/2006/chartDrawing">
    <cdr:from>
      <cdr:x>0</cdr:x>
      <cdr:y>0</cdr:y>
    </cdr:from>
    <cdr:to>
      <cdr:x>1</cdr:x>
      <cdr:y>1</cdr:y>
    </cdr:to>
    <cdr:sp macro="" textlink="">
      <cdr:nvSpPr>
        <cdr:cNvPr id="7" name="乗算記号 6"/>
        <cdr:cNvSpPr/>
      </cdr:nvSpPr>
      <cdr:spPr>
        <a:xfrm xmlns:a="http://schemas.openxmlformats.org/drawingml/2006/main">
          <a:off x="0" y="0"/>
          <a:ext cx="3584235" cy="3586205"/>
        </a:xfrm>
        <a:prstGeom xmlns:a="http://schemas.openxmlformats.org/drawingml/2006/main" prst="mathMultiply">
          <a:avLst>
            <a:gd name="adj1" fmla="val 11591"/>
          </a:avLst>
        </a:prstGeom>
        <a:solidFill xmlns:a="http://schemas.openxmlformats.org/drawingml/2006/main">
          <a:srgbClr val="C0C0C0"/>
        </a:solidFill>
        <a:ln xmlns:a="http://schemas.openxmlformats.org/drawingml/2006/main">
          <a:noFill/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ja-JP"/>
        </a:p>
      </cdr:txBody>
    </cdr:sp>
  </cdr:relSizeAnchor>
</c:userShap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trlProp" Target="../ctrlProps/ctrlProp1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L25"/>
  <sheetViews>
    <sheetView workbookViewId="0"/>
  </sheetViews>
  <sheetFormatPr defaultRowHeight="13.5" x14ac:dyDescent="0.15"/>
  <cols>
    <col min="1" max="1" width="3.75" bestFit="1" customWidth="1"/>
    <col min="2" max="2" width="39.5" bestFit="1" customWidth="1"/>
    <col min="3" max="3" width="13.125" style="8" bestFit="1" customWidth="1"/>
    <col min="4" max="4" width="9.5" bestFit="1" customWidth="1"/>
    <col min="5" max="6" width="15.625" bestFit="1" customWidth="1"/>
    <col min="7" max="7" width="20.75" bestFit="1" customWidth="1"/>
    <col min="8" max="8" width="10.75" bestFit="1" customWidth="1"/>
    <col min="9" max="9" width="13.125" bestFit="1" customWidth="1"/>
    <col min="10" max="10" width="25.875" bestFit="1" customWidth="1"/>
    <col min="11" max="11" width="13.625" bestFit="1" customWidth="1"/>
    <col min="12" max="12" width="14.75" bestFit="1" customWidth="1"/>
  </cols>
  <sheetData>
    <row r="1" spans="1:12" s="7" customFormat="1" ht="42" x14ac:dyDescent="0.15">
      <c r="A1" s="6" t="s">
        <v>9</v>
      </c>
    </row>
    <row r="2" spans="1:12" x14ac:dyDescent="0.15">
      <c r="C2"/>
    </row>
    <row r="3" spans="1:12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15</v>
      </c>
      <c r="H3" s="1" t="s">
        <v>12</v>
      </c>
      <c r="I3" s="1" t="s">
        <v>13</v>
      </c>
      <c r="J3" s="1" t="s">
        <v>14</v>
      </c>
    </row>
    <row r="4" spans="1:12" x14ac:dyDescent="0.15">
      <c r="A4">
        <v>0</v>
      </c>
      <c r="B4" t="s">
        <v>23</v>
      </c>
      <c r="D4">
        <v>0</v>
      </c>
      <c r="E4" s="10">
        <v>44359</v>
      </c>
      <c r="F4" s="10">
        <f>IF(ISBLANK(J4),WORKDAY(E4,D4,Holidays!A:A),E4+7-WEEKDAY(E4+7-J4))</f>
        <v>44359</v>
      </c>
      <c r="G4" t="s">
        <v>32</v>
      </c>
      <c r="I4">
        <v>0</v>
      </c>
      <c r="J4" s="9"/>
      <c r="K4" s="10"/>
      <c r="L4" s="10"/>
    </row>
    <row r="5" spans="1:12" x14ac:dyDescent="0.15">
      <c r="A5">
        <v>1</v>
      </c>
      <c r="B5" t="s">
        <v>17</v>
      </c>
      <c r="C5" s="8">
        <v>0</v>
      </c>
      <c r="D5">
        <v>1</v>
      </c>
      <c r="E5" s="10">
        <f>WORKDAY(MAX(F4),I5,Holidays!A:A)</f>
        <v>44359</v>
      </c>
      <c r="F5" s="10">
        <f>IF(ISBLANK(J5),WORKDAY(E5,D5,Holidays!A:A),E5+7-WEEKDAY(E5+7-J5))</f>
        <v>44361</v>
      </c>
      <c r="G5" t="s">
        <v>33</v>
      </c>
      <c r="I5">
        <v>0</v>
      </c>
      <c r="J5" s="9"/>
      <c r="K5" s="10"/>
      <c r="L5" s="10"/>
    </row>
    <row r="6" spans="1:12" x14ac:dyDescent="0.15">
      <c r="A6">
        <v>2</v>
      </c>
      <c r="B6" t="s">
        <v>24</v>
      </c>
      <c r="C6" s="8">
        <v>0</v>
      </c>
      <c r="D6">
        <v>1</v>
      </c>
      <c r="E6" s="10">
        <f>WORKDAY(MAX(F4),I6,Holidays!A:A)</f>
        <v>44359</v>
      </c>
      <c r="F6" s="10">
        <f>IF(ISBLANK(J6),WORKDAY(E6,D6,Holidays!A:A),E6+7-WEEKDAY(E6+7-J6))</f>
        <v>44361</v>
      </c>
      <c r="G6" t="s">
        <v>34</v>
      </c>
      <c r="I6">
        <v>0</v>
      </c>
      <c r="J6" s="9"/>
      <c r="K6" s="10"/>
      <c r="L6" s="10"/>
    </row>
    <row r="7" spans="1:12" x14ac:dyDescent="0.15">
      <c r="A7">
        <v>3</v>
      </c>
      <c r="B7" t="s">
        <v>25</v>
      </c>
      <c r="C7" s="8">
        <v>0</v>
      </c>
      <c r="D7">
        <v>1</v>
      </c>
      <c r="E7" s="10">
        <f>WORKDAY(MAX(F4),I7,Holidays!A:A)</f>
        <v>44359</v>
      </c>
      <c r="F7" s="10">
        <f>IF(ISBLANK(J7),WORKDAY(E7,D7,Holidays!A:A),E7+7-WEEKDAY(E7+7-J7))</f>
        <v>44361</v>
      </c>
      <c r="G7" t="s">
        <v>35</v>
      </c>
      <c r="I7">
        <v>0</v>
      </c>
      <c r="J7" s="9"/>
      <c r="K7" s="10"/>
      <c r="L7" s="10"/>
    </row>
    <row r="8" spans="1:12" x14ac:dyDescent="0.15">
      <c r="A8">
        <v>4</v>
      </c>
      <c r="B8" t="s">
        <v>26</v>
      </c>
      <c r="C8" s="8" t="s">
        <v>21</v>
      </c>
      <c r="D8">
        <v>1</v>
      </c>
      <c r="E8" s="10">
        <f>WORKDAY(MAX(F5,F6,F7),I8,Holidays!A:A)</f>
        <v>44362</v>
      </c>
      <c r="F8" s="10">
        <f>IF(ISBLANK(J8),WORKDAY(E8,D8,Holidays!A:A),E8+7-WEEKDAY(E8+7-J8))</f>
        <v>44363</v>
      </c>
      <c r="G8" t="s">
        <v>36</v>
      </c>
      <c r="I8">
        <v>1</v>
      </c>
      <c r="J8" s="9"/>
      <c r="K8" s="10"/>
      <c r="L8" s="10"/>
    </row>
    <row r="9" spans="1:12" x14ac:dyDescent="0.15">
      <c r="A9">
        <v>5</v>
      </c>
      <c r="B9" t="s">
        <v>18</v>
      </c>
      <c r="C9" s="8">
        <v>3</v>
      </c>
      <c r="D9">
        <v>1</v>
      </c>
      <c r="E9" s="10">
        <f>WORKDAY(MAX(F7),I9,Holidays!A:A)</f>
        <v>44362</v>
      </c>
      <c r="F9" s="10">
        <f>IF(ISBLANK(J9),WORKDAY(E9,D9,Holidays!A:A),E9+7-WEEKDAY(E9+7-J9))</f>
        <v>44363</v>
      </c>
      <c r="G9" t="s">
        <v>37</v>
      </c>
      <c r="I9">
        <v>1</v>
      </c>
      <c r="J9" s="9"/>
      <c r="K9" s="10"/>
      <c r="L9" s="10"/>
    </row>
    <row r="10" spans="1:12" x14ac:dyDescent="0.15">
      <c r="A10">
        <v>6</v>
      </c>
      <c r="B10" t="s">
        <v>27</v>
      </c>
      <c r="C10" s="8" t="s">
        <v>19</v>
      </c>
      <c r="D10">
        <v>1</v>
      </c>
      <c r="E10" s="10">
        <f>WORKDAY(MAX(F8,F9),I10,Holidays!A:A)</f>
        <v>44364</v>
      </c>
      <c r="F10" s="10">
        <f>IF(ISBLANK(J10),WORKDAY(E10,D10,Holidays!A:A),E10+7-WEEKDAY(E10+7-J10))</f>
        <v>44365</v>
      </c>
      <c r="G10" t="s">
        <v>38</v>
      </c>
      <c r="I10">
        <v>1</v>
      </c>
      <c r="J10" s="9"/>
      <c r="K10" s="10"/>
      <c r="L10" s="10"/>
    </row>
    <row r="11" spans="1:12" x14ac:dyDescent="0.15">
      <c r="A11">
        <v>7</v>
      </c>
      <c r="B11" t="s">
        <v>28</v>
      </c>
      <c r="C11" s="8">
        <v>6</v>
      </c>
      <c r="D11">
        <v>1</v>
      </c>
      <c r="E11" s="10">
        <f>WORKDAY(MAX(F10),I11,Holidays!A:A)</f>
        <v>44368</v>
      </c>
      <c r="F11" s="10">
        <f>IF(ISBLANK(J11),WORKDAY(E11,D11,Holidays!A:A),E11+7-WEEKDAY(E11+7-J11))</f>
        <v>44369</v>
      </c>
      <c r="G11" t="s">
        <v>39</v>
      </c>
      <c r="I11">
        <v>1</v>
      </c>
      <c r="J11" s="9"/>
      <c r="K11" s="10"/>
      <c r="L11" s="10"/>
    </row>
    <row r="12" spans="1:12" x14ac:dyDescent="0.15">
      <c r="A12">
        <v>8</v>
      </c>
      <c r="B12" t="s">
        <v>16</v>
      </c>
      <c r="C12" s="8">
        <v>5</v>
      </c>
      <c r="D12">
        <v>1</v>
      </c>
      <c r="E12" s="10">
        <f>WORKDAY(MAX(F9),I12,Holidays!A:A)</f>
        <v>44364</v>
      </c>
      <c r="F12" s="10">
        <f>IF(ISBLANK(J12),WORKDAY(E12,D12,Holidays!A:A),E12+7-WEEKDAY(E12+7-J12))</f>
        <v>44365</v>
      </c>
      <c r="G12" t="s">
        <v>40</v>
      </c>
      <c r="I12">
        <v>1</v>
      </c>
      <c r="J12" s="9"/>
      <c r="K12" s="10"/>
      <c r="L12" s="10"/>
    </row>
    <row r="13" spans="1:12" x14ac:dyDescent="0.15">
      <c r="A13">
        <v>9</v>
      </c>
      <c r="B13" t="s">
        <v>29</v>
      </c>
      <c r="C13" s="8" t="s">
        <v>30</v>
      </c>
      <c r="D13">
        <v>1</v>
      </c>
      <c r="E13" s="10">
        <f>WORKDAY(MAX(F11,F12),I13,Holidays!A:A)</f>
        <v>44370</v>
      </c>
      <c r="F13" s="10">
        <f>IF(ISBLANK(J13),WORKDAY(E13,D13,Holidays!A:A),E13+7-WEEKDAY(E13+7-J13))</f>
        <v>44371</v>
      </c>
      <c r="G13" t="s">
        <v>41</v>
      </c>
      <c r="I13">
        <v>1</v>
      </c>
      <c r="J13" s="9"/>
      <c r="K13" s="10"/>
      <c r="L13" s="10"/>
    </row>
    <row r="14" spans="1:12" x14ac:dyDescent="0.15">
      <c r="A14">
        <v>10</v>
      </c>
      <c r="B14" t="s">
        <v>22</v>
      </c>
      <c r="C14" s="8">
        <v>9</v>
      </c>
      <c r="D14">
        <v>1</v>
      </c>
      <c r="E14" s="10">
        <f>WORKDAY(MAX(F13),I14,Holidays!A:A)</f>
        <v>44372</v>
      </c>
      <c r="F14" s="10">
        <f>IF(ISBLANK(J14),WORKDAY(E14,D14,Holidays!A:A),E14+7-WEEKDAY(E14+7-J14))</f>
        <v>44375</v>
      </c>
      <c r="G14" t="s">
        <v>42</v>
      </c>
      <c r="I14">
        <v>1</v>
      </c>
      <c r="J14" s="9"/>
      <c r="K14" s="10"/>
      <c r="L14" s="10"/>
    </row>
    <row r="15" spans="1:12" x14ac:dyDescent="0.15">
      <c r="A15">
        <v>11</v>
      </c>
      <c r="B15" t="s">
        <v>20</v>
      </c>
      <c r="C15" s="8">
        <v>10</v>
      </c>
      <c r="D15">
        <v>0</v>
      </c>
      <c r="E15" s="10">
        <f>WORKDAY(MAX(F14),I15,Holidays!A:A)</f>
        <v>44375</v>
      </c>
      <c r="F15" s="10">
        <f>IF(ISBLANK(J15),WORKDAY(E15,D15,Holidays!A:A),E15+7-WEEKDAY(E15+7-J15))</f>
        <v>44375</v>
      </c>
      <c r="G15" t="s">
        <v>43</v>
      </c>
      <c r="I15">
        <v>0</v>
      </c>
      <c r="J15" s="9"/>
      <c r="K15" s="10"/>
      <c r="L15" s="10"/>
    </row>
    <row r="16" spans="1:12" x14ac:dyDescent="0.15">
      <c r="E16" s="10"/>
      <c r="F16" s="10"/>
      <c r="J16" s="9"/>
      <c r="K16" s="10"/>
      <c r="L16" s="10"/>
    </row>
    <row r="17" spans="5:12" x14ac:dyDescent="0.15">
      <c r="E17" s="10"/>
      <c r="F17" s="10"/>
      <c r="J17" s="9"/>
      <c r="K17" s="10"/>
      <c r="L17" s="10"/>
    </row>
    <row r="18" spans="5:12" x14ac:dyDescent="0.15">
      <c r="E18" s="10"/>
      <c r="F18" s="10"/>
      <c r="J18" s="9"/>
      <c r="K18" s="10"/>
      <c r="L18" s="10"/>
    </row>
    <row r="19" spans="5:12" x14ac:dyDescent="0.15">
      <c r="E19" s="10"/>
      <c r="F19" s="10"/>
      <c r="J19" s="9"/>
      <c r="K19" s="10"/>
      <c r="L19" s="10"/>
    </row>
    <row r="20" spans="5:12" x14ac:dyDescent="0.15">
      <c r="E20" s="10"/>
      <c r="F20" s="10"/>
      <c r="J20" s="9"/>
      <c r="K20" s="10"/>
      <c r="L20" s="10"/>
    </row>
    <row r="21" spans="5:12" x14ac:dyDescent="0.15">
      <c r="J21" s="9"/>
    </row>
    <row r="22" spans="5:12" x14ac:dyDescent="0.15">
      <c r="J22" s="9"/>
    </row>
    <row r="23" spans="5:12" x14ac:dyDescent="0.15">
      <c r="J23" s="9"/>
    </row>
    <row r="24" spans="5:12" x14ac:dyDescent="0.15">
      <c r="J24" s="9"/>
    </row>
    <row r="25" spans="5:12" x14ac:dyDescent="0.15">
      <c r="J25" s="9"/>
    </row>
  </sheetData>
  <autoFilter ref="A3:J15"/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tn_FillDefault">
              <controlPr defaultSize="0" print="0" autoFill="0" autoPict="0" macro="[0]!Btn_FillDefault">
                <anchor moveWithCells="1" sizeWithCells="1">
                  <from>
                    <xdr:col>4</xdr:col>
                    <xdr:colOff>123825</xdr:colOff>
                    <xdr:row>0</xdr:row>
                    <xdr:rowOff>114300</xdr:rowOff>
                  </from>
                  <to>
                    <xdr:col>6</xdr:col>
                    <xdr:colOff>733425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G11"/>
  <sheetViews>
    <sheetView showGridLines="0" tabSelected="1" zoomScaleNormal="100" workbookViewId="0">
      <pane ySplit="10" topLeftCell="A11" activePane="bottomLeft" state="frozen"/>
      <selection pane="bottomLeft"/>
    </sheetView>
  </sheetViews>
  <sheetFormatPr defaultRowHeight="13.5" outlineLevelRow="1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23.25" customWidth="1"/>
    <col min="7" max="7" width="22.125" customWidth="1"/>
  </cols>
  <sheetData>
    <row r="1" spans="1:7" s="2" customFormat="1" ht="24.75" customHeight="1" x14ac:dyDescent="0.15">
      <c r="A1" s="4" t="s">
        <v>0</v>
      </c>
      <c r="B1" s="4" t="s">
        <v>1</v>
      </c>
      <c r="C1" s="4" t="s">
        <v>2</v>
      </c>
      <c r="D1" s="4" t="s">
        <v>11</v>
      </c>
      <c r="E1" s="4" t="s">
        <v>3</v>
      </c>
      <c r="F1" s="15" t="s">
        <v>44</v>
      </c>
      <c r="G1" s="16"/>
    </row>
    <row r="2" spans="1:7" s="2" customFormat="1" x14ac:dyDescent="0.15">
      <c r="A2" s="3"/>
      <c r="B2" s="3"/>
      <c r="C2" s="3"/>
      <c r="D2" s="3"/>
      <c r="E2" s="3"/>
      <c r="F2" s="13"/>
      <c r="G2" s="14"/>
    </row>
    <row r="3" spans="1:7" s="2" customFormat="1" x14ac:dyDescent="0.15">
      <c r="A3" s="3"/>
      <c r="B3" s="3"/>
      <c r="C3" s="3"/>
      <c r="D3" s="3"/>
      <c r="E3" s="3"/>
      <c r="F3" s="13"/>
      <c r="G3" s="14"/>
    </row>
    <row r="4" spans="1:7" s="2" customFormat="1" x14ac:dyDescent="0.15">
      <c r="A4" s="3"/>
      <c r="B4" s="3"/>
      <c r="C4" s="3"/>
      <c r="D4" s="3"/>
      <c r="E4" s="3"/>
      <c r="F4" s="13"/>
      <c r="G4" s="14"/>
    </row>
    <row r="5" spans="1:7" s="2" customFormat="1" x14ac:dyDescent="0.15">
      <c r="A5" s="3"/>
      <c r="B5" s="3"/>
      <c r="C5" s="3"/>
      <c r="D5" s="3"/>
      <c r="E5" s="3"/>
      <c r="F5" s="13"/>
      <c r="G5" s="14"/>
    </row>
    <row r="6" spans="1:7" s="2" customFormat="1" x14ac:dyDescent="0.15">
      <c r="A6" s="3"/>
      <c r="B6" s="3"/>
      <c r="C6" s="3"/>
      <c r="D6" s="3"/>
      <c r="E6" s="3"/>
      <c r="F6" s="13"/>
      <c r="G6" s="14"/>
    </row>
    <row r="7" spans="1:7" s="2" customFormat="1" x14ac:dyDescent="0.15">
      <c r="A7" s="3"/>
      <c r="B7" s="3"/>
      <c r="C7" s="3"/>
      <c r="D7" s="3"/>
      <c r="E7" s="3"/>
      <c r="F7" s="13"/>
      <c r="G7" s="14"/>
    </row>
    <row r="8" spans="1:7" s="2" customFormat="1" x14ac:dyDescent="0.15">
      <c r="A8" s="3"/>
      <c r="B8" s="3"/>
      <c r="C8" s="3"/>
      <c r="D8" s="3"/>
      <c r="E8" s="3"/>
      <c r="F8" s="13"/>
      <c r="G8" s="14"/>
    </row>
    <row r="9" spans="1:7" s="2" customFormat="1" x14ac:dyDescent="0.15">
      <c r="A9" s="3"/>
      <c r="B9" s="3"/>
      <c r="C9" s="3"/>
      <c r="D9" s="3"/>
      <c r="E9" s="3"/>
      <c r="F9" s="13"/>
      <c r="G9" s="14"/>
    </row>
    <row r="10" spans="1:7" s="11" customFormat="1" ht="81" hidden="1" customHeight="1" outlineLevel="1" x14ac:dyDescent="0.15"/>
    <row r="11" spans="1:7" collapsed="1" x14ac:dyDescent="0.15"/>
  </sheetData>
  <mergeCells count="1">
    <mergeCell ref="F1:G1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tn_RemoveAllShapse">
              <controlPr defaultSize="0" print="0" autoFill="0" autoPict="0" macro="[0]!EntryPoint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tn_PlotTasks">
              <controlPr defaultSize="0" print="0" autoFill="0" autoPict="0" macro="[0]!EntryPoint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tn_OrderNodeVertical">
              <controlPr defaultSize="0" print="0" autoFill="0" autoPict="0" macro="[0]!EntryPoint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tn_FindDisconnection">
              <controlPr defaultSize="0" print="0" autoFill="0" autoPict="0" macro="[0]!EntryPoint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tn_ConnectStreight">
              <controlPr defaultSize="0" print="0" autoFill="0" autoPict="0" macro="[0]!EntryPoin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tn_ConnectSplit">
              <controlPr defaultSize="0" print="0" autoFill="0" autoPict="0" macro="[0]!EntryPoin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tn_ConnectMarge">
              <controlPr defaultSize="0" print="0" autoFill="0" autoPict="0" macro="[0]!EntryPoint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tn_SwapNodeLocation">
              <controlPr defaultSize="0" print="0" autoFill="0" autoPict="0" macro="[0]!EntryPoint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tn_RemoveConnections">
              <controlPr defaultSize="0" print="0" autoFill="0" autoPict="0" macro="[0]!EntryPoint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tn_Numbering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tn_DeNumberingAllNodes">
              <controlPr defaultSize="0" print="0" autoFill="0" autoPict="0" macro="[0]!EntryPoint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Btn_SetCompletedIcon">
              <controlPr defaultSize="0" print="0" autoFill="0" autoPict="0" macro="[0]!EntryPoint">
                <anchor>
                  <from>
                    <xdr:col>5</xdr:col>
                    <xdr:colOff>190500</xdr:colOff>
                    <xdr:row>1</xdr:row>
                    <xdr:rowOff>66675</xdr:rowOff>
                  </from>
                  <to>
                    <xdr:col>5</xdr:col>
                    <xdr:colOff>1619250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6" name="Btn_SetCancelledIcon">
              <controlPr defaultSize="0" print="0" autoFill="0" autoPict="0" macro="[0]!EntryPoint">
                <anchor>
                  <from>
                    <xdr:col>5</xdr:col>
                    <xdr:colOff>171450</xdr:colOff>
                    <xdr:row>5</xdr:row>
                    <xdr:rowOff>66675</xdr:rowOff>
                  </from>
                  <to>
                    <xdr:col>5</xdr:col>
                    <xdr:colOff>1600200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7" name="Btn_ClearIcon">
              <controlPr defaultSize="0" print="0" autoFill="0" autoPict="0" macro="[0]!EntryPoint">
                <anchor>
                  <from>
                    <xdr:col>6</xdr:col>
                    <xdr:colOff>95250</xdr:colOff>
                    <xdr:row>1</xdr:row>
                    <xdr:rowOff>66675</xdr:rowOff>
                  </from>
                  <to>
                    <xdr:col>6</xdr:col>
                    <xdr:colOff>1524000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IconSheet"/>
  <dimension ref="A1"/>
  <sheetViews>
    <sheetView zoomScale="175" zoomScaleNormal="175" workbookViewId="0"/>
  </sheetViews>
  <sheetFormatPr defaultRowHeight="13.5" x14ac:dyDescent="0.15"/>
  <sheetData>
    <row r="1" spans="1:1" x14ac:dyDescent="0.15">
      <c r="A1" s="12" t="s">
        <v>31</v>
      </c>
    </row>
  </sheetData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5">
        <v>44319</v>
      </c>
    </row>
    <row r="2" spans="1:1" x14ac:dyDescent="0.15">
      <c r="A2" s="5">
        <v>44320</v>
      </c>
    </row>
    <row r="3" spans="1:1" x14ac:dyDescent="0.15">
      <c r="A3" s="5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Icon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2021-06-12T15:34:40Z</dcterms:modified>
</cp:coreProperties>
</file>