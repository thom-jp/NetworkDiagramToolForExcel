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Users\ho_\OneDrive\dev\NetworkDiagramToolForExcel\bin\"/>
    </mc:Choice>
  </mc:AlternateContent>
  <bookViews>
    <workbookView xWindow="0" yWindow="0" windowWidth="17895" windowHeight="8490"/>
  </bookViews>
  <sheets>
    <sheet name="Draw" sheetId="1" r:id="rId1"/>
    <sheet name="Data" sheetId="2" r:id="rId2"/>
    <sheet name="Schedule" sheetId="3" r:id="rId3"/>
  </sheets>
  <functionGroups builtInGroupCount="18"/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E7" i="3" l="1"/>
  <c r="E8" i="3"/>
  <c r="E13" i="3"/>
  <c r="F13" i="3"/>
  <c r="E12" i="3"/>
  <c r="F12" i="3"/>
  <c r="E10" i="3"/>
  <c r="F10" i="3"/>
  <c r="E11" i="3" s="1"/>
  <c r="F11" i="3" s="1"/>
  <c r="E9" i="3"/>
  <c r="F9" i="3"/>
  <c r="E5" i="3"/>
  <c r="F5" i="3" s="1"/>
  <c r="F4" i="3"/>
  <c r="E14" i="3" s="1"/>
  <c r="F14" i="3" s="1"/>
  <c r="E15" i="3" s="1"/>
  <c r="F15" i="3" s="1"/>
  <c r="E16" i="3" s="1"/>
  <c r="F16" i="3" s="1"/>
  <c r="E17" i="3" s="1"/>
  <c r="F17" i="3" s="1"/>
  <c r="F8" i="3" l="1"/>
  <c r="E6" i="3"/>
  <c r="F6" i="3" s="1"/>
  <c r="F7" i="3" s="1"/>
  <c r="E18" i="3" s="1"/>
  <c r="F18" i="3" s="1"/>
</calcChain>
</file>

<file path=xl/sharedStrings.xml><?xml version="1.0" encoding="utf-8"?>
<sst xmlns="http://schemas.openxmlformats.org/spreadsheetml/2006/main" count="47" uniqueCount="47">
  <si>
    <t>ID</t>
    <phoneticPr fontId="1"/>
  </si>
  <si>
    <t>Task Name</t>
    <phoneticPr fontId="1"/>
  </si>
  <si>
    <t>Task Registration</t>
    <phoneticPr fontId="1"/>
  </si>
  <si>
    <t>Dependency</t>
    <phoneticPr fontId="1"/>
  </si>
  <si>
    <t>床のモノを片付ける</t>
    <rPh sb="0" eb="1">
      <t>ユカ</t>
    </rPh>
    <rPh sb="5" eb="7">
      <t>カタヅ</t>
    </rPh>
    <phoneticPr fontId="1"/>
  </si>
  <si>
    <t>床掃除ロボット実行</t>
    <rPh sb="0" eb="1">
      <t>ユカ</t>
    </rPh>
    <rPh sb="1" eb="3">
      <t>ソウジ</t>
    </rPh>
    <rPh sb="7" eb="9">
      <t>ジッコウ</t>
    </rPh>
    <phoneticPr fontId="1"/>
  </si>
  <si>
    <t>衣類の在庫確認</t>
    <rPh sb="0" eb="2">
      <t>イルイ</t>
    </rPh>
    <rPh sb="3" eb="5">
      <t>ザイコ</t>
    </rPh>
    <rPh sb="5" eb="7">
      <t>カクニン</t>
    </rPh>
    <phoneticPr fontId="1"/>
  </si>
  <si>
    <t>洗濯物A</t>
    <rPh sb="0" eb="2">
      <t>センタク</t>
    </rPh>
    <rPh sb="2" eb="3">
      <t>モノ</t>
    </rPh>
    <phoneticPr fontId="1"/>
  </si>
  <si>
    <t>洗濯物B</t>
    <rPh sb="0" eb="2">
      <t>センタク</t>
    </rPh>
    <rPh sb="2" eb="3">
      <t>モノ</t>
    </rPh>
    <phoneticPr fontId="1"/>
  </si>
  <si>
    <t>洗濯物Aを干す</t>
    <rPh sb="0" eb="2">
      <t>センタク</t>
    </rPh>
    <rPh sb="2" eb="3">
      <t>モノ</t>
    </rPh>
    <rPh sb="5" eb="6">
      <t>ホ</t>
    </rPh>
    <phoneticPr fontId="1"/>
  </si>
  <si>
    <t>机の掃除</t>
    <rPh sb="0" eb="1">
      <t>ツクエ</t>
    </rPh>
    <rPh sb="2" eb="4">
      <t>ソウジ</t>
    </rPh>
    <phoneticPr fontId="1"/>
  </si>
  <si>
    <t>ゴミ捨て</t>
    <rPh sb="2" eb="3">
      <t>ス</t>
    </rPh>
    <phoneticPr fontId="1"/>
  </si>
  <si>
    <t>START</t>
    <phoneticPr fontId="1"/>
  </si>
  <si>
    <t>END</t>
    <phoneticPr fontId="1"/>
  </si>
  <si>
    <t>Initiate</t>
    <phoneticPr fontId="1"/>
  </si>
  <si>
    <t>Locate</t>
    <phoneticPr fontId="1"/>
  </si>
  <si>
    <t>Connect</t>
    <phoneticPr fontId="1"/>
  </si>
  <si>
    <t>Remove</t>
    <phoneticPr fontId="1"/>
  </si>
  <si>
    <t>Numbering</t>
    <phoneticPr fontId="1"/>
  </si>
  <si>
    <t>風呂掃除</t>
    <rPh sb="0" eb="2">
      <t>フロ</t>
    </rPh>
    <rPh sb="2" eb="4">
      <t>ソウジ</t>
    </rPh>
    <phoneticPr fontId="1"/>
  </si>
  <si>
    <t>トイレ掃除</t>
    <rPh sb="3" eb="5">
      <t>ソウジ</t>
    </rPh>
    <phoneticPr fontId="1"/>
  </si>
  <si>
    <t>消耗品チェック</t>
    <rPh sb="0" eb="2">
      <t>ショウモウ</t>
    </rPh>
    <rPh sb="2" eb="3">
      <t>ヒン</t>
    </rPh>
    <phoneticPr fontId="1"/>
  </si>
  <si>
    <t>消耗品発注</t>
    <rPh sb="0" eb="2">
      <t>ショウモウ</t>
    </rPh>
    <rPh sb="2" eb="3">
      <t>ヒン</t>
    </rPh>
    <rPh sb="3" eb="5">
      <t>ハッチュウ</t>
    </rPh>
    <phoneticPr fontId="1"/>
  </si>
  <si>
    <t>換気</t>
    <rPh sb="0" eb="2">
      <t>カンキ</t>
    </rPh>
    <phoneticPr fontId="1"/>
  </si>
  <si>
    <t>No</t>
    <phoneticPr fontId="1"/>
  </si>
  <si>
    <t>Task Name</t>
    <phoneticPr fontId="1"/>
  </si>
  <si>
    <t>Estimation</t>
    <phoneticPr fontId="1"/>
  </si>
  <si>
    <t>Planned Start</t>
    <phoneticPr fontId="1"/>
  </si>
  <si>
    <t>Planned End</t>
    <phoneticPr fontId="1"/>
  </si>
  <si>
    <t>Dependency</t>
    <phoneticPr fontId="1"/>
  </si>
  <si>
    <t>6.消耗品チェック</t>
    <phoneticPr fontId="1"/>
  </si>
  <si>
    <t>7.消耗品発注</t>
    <phoneticPr fontId="1"/>
  </si>
  <si>
    <t>11.洗濯物A</t>
    <phoneticPr fontId="1"/>
  </si>
  <si>
    <t>14.END</t>
    <phoneticPr fontId="1"/>
  </si>
  <si>
    <t>0.START</t>
    <phoneticPr fontId="1"/>
  </si>
  <si>
    <t>9.風呂掃除</t>
    <phoneticPr fontId="1"/>
  </si>
  <si>
    <t>12.洗濯物Aを干す</t>
    <phoneticPr fontId="1"/>
  </si>
  <si>
    <t>2.床のモノを片付ける</t>
    <phoneticPr fontId="1"/>
  </si>
  <si>
    <t>4.机の掃除</t>
    <phoneticPr fontId="1"/>
  </si>
  <si>
    <t>5.トイレ掃除</t>
    <phoneticPr fontId="1"/>
  </si>
  <si>
    <t>10.衣類の在庫確認</t>
    <phoneticPr fontId="1"/>
  </si>
  <si>
    <t>1.ゴミ捨て</t>
    <phoneticPr fontId="1"/>
  </si>
  <si>
    <t>8.換気</t>
    <phoneticPr fontId="1"/>
  </si>
  <si>
    <t>3.床掃除ロボット実行</t>
    <phoneticPr fontId="1"/>
  </si>
  <si>
    <t>13.洗濯物B</t>
    <phoneticPr fontId="1"/>
  </si>
  <si>
    <t>3,4,5,7,8,9,13</t>
    <phoneticPr fontId="1"/>
  </si>
  <si>
    <t>2,4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</si>
</sst>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8" x14ac:knownFonts="1">
    <font>
      <sz val="11"/>
      <color theme="1"/>
      <name val="ＭＳ Ｐゴシック"/>
      <family val="2"/>
      <charset val="128"/>
      <scheme val="minor"/>
    </font>
    <font>
      <sz val="6"/>
      <name val="ＭＳ Ｐゴシック"/>
      <family val="2"/>
      <charset val="128"/>
      <scheme val="minor"/>
    </font>
    <font>
      <sz val="36"/>
      <color theme="0"/>
      <name val="ＭＳ Ｐゴシック"/>
      <family val="2"/>
      <charset val="128"/>
      <scheme val="minor"/>
    </font>
    <font>
      <sz val="11"/>
      <color theme="0"/>
      <name val="ＭＳ Ｐゴシック"/>
      <family val="3"/>
      <charset val="128"/>
      <scheme val="minor"/>
    </font>
    <font>
      <b/>
      <sz val="11"/>
      <color theme="1"/>
      <name val="ＭＳ Ｐゴシック"/>
      <family val="3"/>
      <charset val="128"/>
      <scheme val="minor"/>
    </font>
    <font>
      <sz val="11"/>
      <color rgb="FF000000"/>
      <name val="Meiryo UI"/>
      <family val="3"/>
      <charset val="128"/>
    </font>
    <font>
      <sz val="11"/>
      <color rgb="FF000000"/>
      <name val="ＭＳ Ｐゴシック"/>
      <family val="3"/>
      <charset val="128"/>
    </font>
    <font>
      <b/>
      <sz val="11"/>
      <color theme="0"/>
      <name val="ＭＳ Ｐゴシック"/>
      <family val="3"/>
      <charset val="128"/>
      <scheme val="minor"/>
    </font>
  </fonts>
  <fills count="4">
    <fill>
      <patternFill patternType="none"/>
    </fill>
    <fill>
      <patternFill patternType="gray125"/>
    </fill>
    <fill>
      <patternFill patternType="solid">
        <fgColor theme="8"/>
        <bgColor indexed="64"/>
      </patternFill>
    </fill>
    <fill>
      <patternFill patternType="solid">
        <fgColor theme="3"/>
        <bgColor indexed="64"/>
      </patternFill>
    </fill>
  </fills>
  <borders count="2">
    <border>
      <left/>
      <right/>
      <top/>
      <bottom/>
      <diagonal/>
    </border>
    <border>
      <left style="thin">
        <color theme="0" tint="-0.24994659260841701"/>
      </left>
      <right style="thin">
        <color theme="0" tint="-0.24994659260841701"/>
      </right>
      <top/>
      <bottom/>
      <diagonal/>
    </border>
  </borders>
  <cellStyleXfs count="1">
    <xf numFmtId="0" fontId="0" fillId="0" borderId="0">
      <alignment vertical="center"/>
    </xf>
  </cellStyleXfs>
  <cellXfs count="9">
    <xf numFmtId="0" fontId="0" fillId="0" borderId="0" xfId="0">
      <alignment vertical="center"/>
    </xf>
    <xf numFmtId="0" fontId="2" fillId="2" borderId="0" xfId="0" applyFont="1" applyFill="1">
      <alignment vertical="center"/>
    </xf>
    <xf numFmtId="0" fontId="3" fillId="2" borderId="0" xfId="0" applyFont="1" applyFill="1">
      <alignment vertical="center"/>
    </xf>
    <xf numFmtId="0" fontId="4" fillId="0" borderId="0" xfId="0" applyFont="1">
      <alignment vertical="center"/>
    </xf>
    <xf numFmtId="0" fontId="0" fillId="3" borderId="0" xfId="0" applyFill="1">
      <alignment vertical="center"/>
    </xf>
    <xf numFmtId="0" fontId="0" fillId="3" borderId="0" xfId="0" applyFill="1" applyBorder="1">
      <alignment vertical="center"/>
    </xf>
    <xf numFmtId="0" fontId="0" fillId="3" borderId="1" xfId="0" applyFill="1" applyBorder="1">
      <alignment vertical="center"/>
    </xf>
    <xf numFmtId="0" fontId="7" fillId="3" borderId="1" xfId="0" applyFont="1" applyFill="1" applyBorder="1" applyAlignment="1">
      <alignment horizontal="center" vertical="center"/>
    </xf>
    <xf numFmtId="14" fontId="0" fillId="0" borderId="0" xfId="0" applyNumberFormat="1">
      <alignment vertical="center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3</xdr:col>
          <xdr:colOff>180975</xdr:colOff>
          <xdr:row>1</xdr:row>
          <xdr:rowOff>66675</xdr:rowOff>
        </xdr:from>
        <xdr:to>
          <xdr:col>3</xdr:col>
          <xdr:colOff>1609725</xdr:colOff>
          <xdr:row>4</xdr:row>
          <xdr:rowOff>104775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Remove All Shapes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295275</xdr:colOff>
          <xdr:row>1</xdr:row>
          <xdr:rowOff>85725</xdr:rowOff>
        </xdr:from>
        <xdr:to>
          <xdr:col>0</xdr:col>
          <xdr:colOff>1733550</xdr:colOff>
          <xdr:row>4</xdr:row>
          <xdr:rowOff>123825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TestFeature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</xdr:col>
          <xdr:colOff>171450</xdr:colOff>
          <xdr:row>1</xdr:row>
          <xdr:rowOff>66675</xdr:rowOff>
        </xdr:from>
        <xdr:to>
          <xdr:col>1</xdr:col>
          <xdr:colOff>1600200</xdr:colOff>
          <xdr:row>4</xdr:row>
          <xdr:rowOff>104775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Order Node Vertical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1895475</xdr:colOff>
          <xdr:row>1</xdr:row>
          <xdr:rowOff>66675</xdr:rowOff>
        </xdr:from>
        <xdr:to>
          <xdr:col>2</xdr:col>
          <xdr:colOff>3333750</xdr:colOff>
          <xdr:row>4</xdr:row>
          <xdr:rowOff>104775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Find Disconnection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209550</xdr:colOff>
          <xdr:row>1</xdr:row>
          <xdr:rowOff>66675</xdr:rowOff>
        </xdr:from>
        <xdr:to>
          <xdr:col>2</xdr:col>
          <xdr:colOff>1647825</xdr:colOff>
          <xdr:row>4</xdr:row>
          <xdr:rowOff>104775</xdr:rowOff>
        </xdr:to>
        <xdr:sp macro="" textlink="">
          <xdr:nvSpPr>
            <xdr:cNvPr id="1031" name="Button 7" hidden="1">
              <a:extLst>
                <a:ext uri="{63B3BB69-23CF-44E3-9099-C40C66FF867C}">
                  <a14:compatExt spid="_x0000_s103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Connect Straight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209550</xdr:colOff>
          <xdr:row>5</xdr:row>
          <xdr:rowOff>47625</xdr:rowOff>
        </xdr:from>
        <xdr:to>
          <xdr:col>2</xdr:col>
          <xdr:colOff>1647825</xdr:colOff>
          <xdr:row>8</xdr:row>
          <xdr:rowOff>85725</xdr:rowOff>
        </xdr:to>
        <xdr:sp macro="" textlink="">
          <xdr:nvSpPr>
            <xdr:cNvPr id="1032" name="Button 8" hidden="1">
              <a:extLst>
                <a:ext uri="{63B3BB69-23CF-44E3-9099-C40C66FF867C}">
                  <a14:compatExt spid="_x0000_s103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Connect Split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1895475</xdr:colOff>
          <xdr:row>5</xdr:row>
          <xdr:rowOff>47625</xdr:rowOff>
        </xdr:from>
        <xdr:to>
          <xdr:col>2</xdr:col>
          <xdr:colOff>3333750</xdr:colOff>
          <xdr:row>8</xdr:row>
          <xdr:rowOff>85725</xdr:rowOff>
        </xdr:to>
        <xdr:sp macro="" textlink="">
          <xdr:nvSpPr>
            <xdr:cNvPr id="1033" name="Button 9" hidden="1">
              <a:extLst>
                <a:ext uri="{63B3BB69-23CF-44E3-9099-C40C66FF867C}">
                  <a14:compatExt spid="_x0000_s103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Connect Marge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</xdr:col>
          <xdr:colOff>171450</xdr:colOff>
          <xdr:row>5</xdr:row>
          <xdr:rowOff>47625</xdr:rowOff>
        </xdr:from>
        <xdr:to>
          <xdr:col>1</xdr:col>
          <xdr:colOff>1600200</xdr:colOff>
          <xdr:row>8</xdr:row>
          <xdr:rowOff>85725</xdr:rowOff>
        </xdr:to>
        <xdr:sp macro="" textlink="">
          <xdr:nvSpPr>
            <xdr:cNvPr id="1034" name="Button 10" hidden="1">
              <a:extLst>
                <a:ext uri="{63B3BB69-23CF-44E3-9099-C40C66FF867C}">
                  <a14:compatExt spid="_x0000_s103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Swap Node Location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3</xdr:col>
          <xdr:colOff>180975</xdr:colOff>
          <xdr:row>5</xdr:row>
          <xdr:rowOff>47625</xdr:rowOff>
        </xdr:from>
        <xdr:to>
          <xdr:col>3</xdr:col>
          <xdr:colOff>1609725</xdr:colOff>
          <xdr:row>8</xdr:row>
          <xdr:rowOff>85725</xdr:rowOff>
        </xdr:to>
        <xdr:sp macro="" textlink="">
          <xdr:nvSpPr>
            <xdr:cNvPr id="1035" name="Button 11" hidden="1">
              <a:extLst>
                <a:ext uri="{63B3BB69-23CF-44E3-9099-C40C66FF867C}">
                  <a14:compatExt spid="_x0000_s103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Remove Connections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161925</xdr:colOff>
          <xdr:row>1</xdr:row>
          <xdr:rowOff>47625</xdr:rowOff>
        </xdr:from>
        <xdr:to>
          <xdr:col>4</xdr:col>
          <xdr:colOff>1600200</xdr:colOff>
          <xdr:row>4</xdr:row>
          <xdr:rowOff>76200</xdr:rowOff>
        </xdr:to>
        <xdr:sp macro="" textlink="">
          <xdr:nvSpPr>
            <xdr:cNvPr id="1036" name="Button 12" hidden="1">
              <a:extLst>
                <a:ext uri="{63B3BB69-23CF-44E3-9099-C40C66FF867C}">
                  <a14:compatExt spid="_x0000_s103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Numbering Nodes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161925</xdr:colOff>
          <xdr:row>5</xdr:row>
          <xdr:rowOff>19050</xdr:rowOff>
        </xdr:from>
        <xdr:to>
          <xdr:col>4</xdr:col>
          <xdr:colOff>1600200</xdr:colOff>
          <xdr:row>8</xdr:row>
          <xdr:rowOff>57150</xdr:rowOff>
        </xdr:to>
        <xdr:sp macro="" textlink="">
          <xdr:nvSpPr>
            <xdr:cNvPr id="1037" name="Button 13" hidden="1">
              <a:extLst>
                <a:ext uri="{63B3BB69-23CF-44E3-9099-C40C66FF867C}">
                  <a14:compatExt spid="_x0000_s103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DeNumbering All Nodes</a:t>
              </a:r>
            </a:p>
          </xdr:txBody>
        </xdr:sp>
        <xdr:clientData fPrintsWithSheet="0"/>
      </xdr:twoCellAnchor>
    </mc:Choice>
    <mc:Fallback/>
  </mc:AlternateContent>
  <xdr:twoCellAnchor>
    <xdr:from>
      <xdr:col>0</xdr:col>
      <xdr:colOff>67236</xdr:colOff>
      <xdr:row>26</xdr:row>
      <xdr:rowOff>130735</xdr:rowOff>
    </xdr:from>
    <xdr:to>
      <xdr:col>0</xdr:col>
      <xdr:colOff>829236</xdr:colOff>
      <xdr:row>31</xdr:row>
      <xdr:rowOff>52294</xdr:rowOff>
    </xdr:to>
    <xdr:sp macro="" textlink="">
      <xdr:nvSpPr>
        <xdr:cNvPr id="2" name="円/楕円 1"/>
        <xdr:cNvSpPr/>
      </xdr:nvSpPr>
      <xdr:spPr>
        <a:xfrm>
          <a:off x="67236" y="4646706"/>
          <a:ext cx="762000" cy="762000"/>
        </a:xfrm>
        <a:prstGeom prst="ellipse">
          <a:avLst/>
        </a:prstGeom>
        <a:solidFill>
          <a:srgbClr val="E6E6FA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overflow" horzOverflow="overflow" vert="horz" wrap="none" lIns="91440" tIns="45720" rIns="91440" bIns="45720" numCol="1" spcCol="0" rtlCol="0" fromWordArt="0" anchor="ctr" anchorCtr="0" forceAA="0" compatLnSpc="1"/>
        <a:lstStyle/>
        <a:p>
          <a:pPr algn="ctr"/>
          <a:r>
            <a:rPr kumimoji="1" lang="arn-CL" altLang="ja-JP" sz="1100">
              <a:solidFill>
                <a:srgbClr val="000000"/>
              </a:solidFill>
            </a:rPr>
            <a:t>0.STA</a:t>
          </a:r>
        </a:p>
        <a:p>
          <a:pPr algn="ctr"/>
          <a:r>
            <a:rPr kumimoji="1" lang="arn-CL" altLang="ja-JP" sz="1100">
              <a:solidFill>
                <a:srgbClr val="000000"/>
              </a:solidFill>
            </a:rPr>
            <a:t>RT</a:t>
          </a:r>
          <a:endParaRPr kumimoji="1" lang="ja-JP" altLang="en-US" sz="1100">
            <a:solidFill>
              <a:srgbClr val="000000"/>
            </a:solidFill>
          </a:endParaRPr>
        </a:p>
      </xdr:txBody>
    </xdr:sp>
    <xdr:clientData/>
  </xdr:twoCellAnchor>
  <xdr:twoCellAnchor>
    <xdr:from>
      <xdr:col>1</xdr:col>
      <xdr:colOff>1654735</xdr:colOff>
      <xdr:row>11</xdr:row>
      <xdr:rowOff>7471</xdr:rowOff>
    </xdr:from>
    <xdr:to>
      <xdr:col>2</xdr:col>
      <xdr:colOff>601382</xdr:colOff>
      <xdr:row>15</xdr:row>
      <xdr:rowOff>97118</xdr:rowOff>
    </xdr:to>
    <xdr:sp macro="" textlink="">
      <xdr:nvSpPr>
        <xdr:cNvPr id="4" name="円/楕円 3"/>
        <xdr:cNvSpPr/>
      </xdr:nvSpPr>
      <xdr:spPr>
        <a:xfrm>
          <a:off x="3593353" y="2002118"/>
          <a:ext cx="762000" cy="762000"/>
        </a:xfrm>
        <a:prstGeom prst="ellipse">
          <a:avLst/>
        </a:prstGeom>
        <a:solidFill>
          <a:srgbClr val="E6E6FA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overflow" horzOverflow="overflow" vert="horz" wrap="none" lIns="91440" tIns="45720" rIns="91440" bIns="45720" numCol="1" spcCol="0" rtlCol="0" fromWordArt="0" anchor="ctr" anchorCtr="0" forceAA="0" compatLnSpc="1"/>
        <a:lstStyle/>
        <a:p>
          <a:pPr algn="ctr"/>
          <a:r>
            <a:rPr kumimoji="1" lang="en-US" altLang="ja-JP" sz="1100">
              <a:solidFill>
                <a:srgbClr val="000000"/>
              </a:solidFill>
            </a:rPr>
            <a:t>3.</a:t>
          </a:r>
          <a:r>
            <a:rPr kumimoji="1" lang="ja-JP" altLang="en-US" sz="1100">
              <a:solidFill>
                <a:srgbClr val="000000"/>
              </a:solidFill>
            </a:rPr>
            <a:t>床掃除</a:t>
          </a:r>
        </a:p>
        <a:p>
          <a:pPr algn="ctr"/>
          <a:r>
            <a:rPr kumimoji="1" lang="ja-JP" altLang="en-US" sz="1100">
              <a:solidFill>
                <a:srgbClr val="000000"/>
              </a:solidFill>
            </a:rPr>
            <a:t>ロボット実</a:t>
          </a:r>
        </a:p>
        <a:p>
          <a:pPr algn="ctr"/>
          <a:r>
            <a:rPr kumimoji="1" lang="ja-JP" altLang="en-US" sz="1100">
              <a:solidFill>
                <a:srgbClr val="000000"/>
              </a:solidFill>
            </a:rPr>
            <a:t>行</a:t>
          </a:r>
        </a:p>
      </xdr:txBody>
    </xdr:sp>
    <xdr:clientData/>
  </xdr:twoCellAnchor>
  <xdr:twoCellAnchor>
    <xdr:from>
      <xdr:col>1</xdr:col>
      <xdr:colOff>911410</xdr:colOff>
      <xdr:row>46</xdr:row>
      <xdr:rowOff>164353</xdr:rowOff>
    </xdr:from>
    <xdr:to>
      <xdr:col>1</xdr:col>
      <xdr:colOff>1673410</xdr:colOff>
      <xdr:row>51</xdr:row>
      <xdr:rowOff>85912</xdr:rowOff>
    </xdr:to>
    <xdr:sp macro="" textlink="">
      <xdr:nvSpPr>
        <xdr:cNvPr id="6" name="円/楕円 5"/>
        <xdr:cNvSpPr/>
      </xdr:nvSpPr>
      <xdr:spPr>
        <a:xfrm>
          <a:off x="2850028" y="8042088"/>
          <a:ext cx="762000" cy="762000"/>
        </a:xfrm>
        <a:prstGeom prst="ellipse">
          <a:avLst/>
        </a:prstGeom>
        <a:solidFill>
          <a:srgbClr val="E6E6FA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overflow" horzOverflow="overflow" vert="horz" wrap="none" lIns="91440" tIns="45720" rIns="91440" bIns="45720" numCol="1" spcCol="0" rtlCol="0" fromWordArt="0" anchor="ctr" anchorCtr="0" forceAA="0" compatLnSpc="1"/>
        <a:lstStyle/>
        <a:p>
          <a:pPr algn="ctr"/>
          <a:r>
            <a:rPr kumimoji="1" lang="en-US" altLang="ja-JP" sz="1100">
              <a:solidFill>
                <a:srgbClr val="000000"/>
              </a:solidFill>
            </a:rPr>
            <a:t>11.</a:t>
          </a:r>
          <a:r>
            <a:rPr kumimoji="1" lang="ja-JP" altLang="en-US" sz="1100">
              <a:solidFill>
                <a:srgbClr val="000000"/>
              </a:solidFill>
            </a:rPr>
            <a:t>洗濯</a:t>
          </a:r>
        </a:p>
        <a:p>
          <a:pPr algn="ctr"/>
          <a:r>
            <a:rPr kumimoji="1" lang="ja-JP" altLang="en-US" sz="1100">
              <a:solidFill>
                <a:srgbClr val="000000"/>
              </a:solidFill>
            </a:rPr>
            <a:t>物</a:t>
          </a:r>
          <a:r>
            <a:rPr kumimoji="1" lang="arn-CL" altLang="ja-JP" sz="1100">
              <a:solidFill>
                <a:srgbClr val="000000"/>
              </a:solidFill>
            </a:rPr>
            <a:t>A</a:t>
          </a:r>
          <a:endParaRPr kumimoji="1" lang="ja-JP" altLang="en-US" sz="1100">
            <a:solidFill>
              <a:srgbClr val="000000"/>
            </a:solidFill>
          </a:endParaRPr>
        </a:p>
      </xdr:txBody>
    </xdr:sp>
    <xdr:clientData/>
  </xdr:twoCellAnchor>
  <xdr:twoCellAnchor>
    <xdr:from>
      <xdr:col>2</xdr:col>
      <xdr:colOff>1161674</xdr:colOff>
      <xdr:row>47</xdr:row>
      <xdr:rowOff>7469</xdr:rowOff>
    </xdr:from>
    <xdr:to>
      <xdr:col>2</xdr:col>
      <xdr:colOff>1923674</xdr:colOff>
      <xdr:row>51</xdr:row>
      <xdr:rowOff>97117</xdr:rowOff>
    </xdr:to>
    <xdr:sp macro="" textlink="">
      <xdr:nvSpPr>
        <xdr:cNvPr id="7" name="円/楕円 6"/>
        <xdr:cNvSpPr/>
      </xdr:nvSpPr>
      <xdr:spPr>
        <a:xfrm>
          <a:off x="4915645" y="8053293"/>
          <a:ext cx="762000" cy="762000"/>
        </a:xfrm>
        <a:prstGeom prst="ellipse">
          <a:avLst/>
        </a:prstGeom>
        <a:solidFill>
          <a:srgbClr val="E6E6FA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overflow" horzOverflow="overflow" vert="horz" wrap="none" lIns="91440" tIns="45720" rIns="91440" bIns="45720" numCol="1" spcCol="0" rtlCol="0" fromWordArt="0" anchor="ctr" anchorCtr="0" forceAA="0" compatLnSpc="1"/>
        <a:lstStyle/>
        <a:p>
          <a:pPr algn="ctr"/>
          <a:r>
            <a:rPr kumimoji="1" lang="en-US" altLang="ja-JP" sz="1100">
              <a:solidFill>
                <a:srgbClr val="000000"/>
              </a:solidFill>
            </a:rPr>
            <a:t>13.</a:t>
          </a:r>
          <a:r>
            <a:rPr kumimoji="1" lang="ja-JP" altLang="en-US" sz="1100">
              <a:solidFill>
                <a:srgbClr val="000000"/>
              </a:solidFill>
            </a:rPr>
            <a:t>洗濯</a:t>
          </a:r>
        </a:p>
        <a:p>
          <a:pPr algn="ctr"/>
          <a:r>
            <a:rPr kumimoji="1" lang="ja-JP" altLang="en-US" sz="1100">
              <a:solidFill>
                <a:srgbClr val="000000"/>
              </a:solidFill>
            </a:rPr>
            <a:t>物</a:t>
          </a:r>
          <a:r>
            <a:rPr kumimoji="1" lang="arn-CL" altLang="ja-JP" sz="1100">
              <a:solidFill>
                <a:srgbClr val="000000"/>
              </a:solidFill>
            </a:rPr>
            <a:t>B</a:t>
          </a:r>
          <a:endParaRPr kumimoji="1" lang="ja-JP" altLang="en-US" sz="1100">
            <a:solidFill>
              <a:srgbClr val="000000"/>
            </a:solidFill>
          </a:endParaRPr>
        </a:p>
      </xdr:txBody>
    </xdr:sp>
    <xdr:clientData/>
  </xdr:twoCellAnchor>
  <xdr:twoCellAnchor>
    <xdr:from>
      <xdr:col>2</xdr:col>
      <xdr:colOff>33616</xdr:colOff>
      <xdr:row>47</xdr:row>
      <xdr:rowOff>7470</xdr:rowOff>
    </xdr:from>
    <xdr:to>
      <xdr:col>2</xdr:col>
      <xdr:colOff>795616</xdr:colOff>
      <xdr:row>51</xdr:row>
      <xdr:rowOff>97118</xdr:rowOff>
    </xdr:to>
    <xdr:sp macro="" textlink="">
      <xdr:nvSpPr>
        <xdr:cNvPr id="8" name="円/楕円 7"/>
        <xdr:cNvSpPr/>
      </xdr:nvSpPr>
      <xdr:spPr>
        <a:xfrm>
          <a:off x="3787587" y="8053294"/>
          <a:ext cx="762000" cy="762000"/>
        </a:xfrm>
        <a:prstGeom prst="ellipse">
          <a:avLst/>
        </a:prstGeom>
        <a:solidFill>
          <a:srgbClr val="E6E6FA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overflow" horzOverflow="overflow" vert="horz" wrap="none" lIns="91440" tIns="45720" rIns="91440" bIns="45720" numCol="1" spcCol="0" rtlCol="0" fromWordArt="0" anchor="ctr" anchorCtr="0" forceAA="0" compatLnSpc="1"/>
        <a:lstStyle/>
        <a:p>
          <a:pPr algn="ctr"/>
          <a:r>
            <a:rPr kumimoji="1" lang="en-US" altLang="ja-JP" sz="1100">
              <a:solidFill>
                <a:srgbClr val="000000"/>
              </a:solidFill>
            </a:rPr>
            <a:t>12.</a:t>
          </a:r>
          <a:r>
            <a:rPr kumimoji="1" lang="ja-JP" altLang="en-US" sz="1100">
              <a:solidFill>
                <a:srgbClr val="000000"/>
              </a:solidFill>
            </a:rPr>
            <a:t>洗濯</a:t>
          </a:r>
        </a:p>
        <a:p>
          <a:pPr algn="ctr"/>
          <a:r>
            <a:rPr kumimoji="1" lang="ja-JP" altLang="en-US" sz="1100">
              <a:solidFill>
                <a:srgbClr val="000000"/>
              </a:solidFill>
            </a:rPr>
            <a:t>物</a:t>
          </a:r>
          <a:r>
            <a:rPr kumimoji="1" lang="arn-CL" altLang="ja-JP" sz="1100">
              <a:solidFill>
                <a:srgbClr val="000000"/>
              </a:solidFill>
            </a:rPr>
            <a:t>A</a:t>
          </a:r>
          <a:r>
            <a:rPr kumimoji="1" lang="ja-JP" altLang="en-US" sz="1100">
              <a:solidFill>
                <a:srgbClr val="000000"/>
              </a:solidFill>
            </a:rPr>
            <a:t>を干す</a:t>
          </a:r>
        </a:p>
      </xdr:txBody>
    </xdr:sp>
    <xdr:clientData/>
  </xdr:twoCellAnchor>
  <xdr:twoCellAnchor>
    <xdr:from>
      <xdr:col>1</xdr:col>
      <xdr:colOff>732118</xdr:colOff>
      <xdr:row>17</xdr:row>
      <xdr:rowOff>52295</xdr:rowOff>
    </xdr:from>
    <xdr:to>
      <xdr:col>1</xdr:col>
      <xdr:colOff>1494118</xdr:colOff>
      <xdr:row>21</xdr:row>
      <xdr:rowOff>141942</xdr:rowOff>
    </xdr:to>
    <xdr:sp macro="" textlink="">
      <xdr:nvSpPr>
        <xdr:cNvPr id="9" name="円/楕円 8"/>
        <xdr:cNvSpPr/>
      </xdr:nvSpPr>
      <xdr:spPr>
        <a:xfrm>
          <a:off x="2670736" y="3055471"/>
          <a:ext cx="762000" cy="762000"/>
        </a:xfrm>
        <a:prstGeom prst="ellipse">
          <a:avLst/>
        </a:prstGeom>
        <a:solidFill>
          <a:srgbClr val="E6E6FA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overflow" horzOverflow="overflow" vert="horz" wrap="none" lIns="91440" tIns="45720" rIns="91440" bIns="45720" numCol="1" spcCol="0" rtlCol="0" fromWordArt="0" anchor="ctr" anchorCtr="0" forceAA="0" compatLnSpc="1"/>
        <a:lstStyle/>
        <a:p>
          <a:pPr algn="ctr"/>
          <a:r>
            <a:rPr kumimoji="1" lang="en-US" altLang="ja-JP" sz="1100">
              <a:solidFill>
                <a:srgbClr val="000000"/>
              </a:solidFill>
            </a:rPr>
            <a:t>4.</a:t>
          </a:r>
          <a:r>
            <a:rPr kumimoji="1" lang="ja-JP" altLang="en-US" sz="1100">
              <a:solidFill>
                <a:srgbClr val="000000"/>
              </a:solidFill>
            </a:rPr>
            <a:t>机の掃</a:t>
          </a:r>
        </a:p>
        <a:p>
          <a:pPr algn="ctr"/>
          <a:r>
            <a:rPr kumimoji="1" lang="ja-JP" altLang="en-US" sz="1100">
              <a:solidFill>
                <a:srgbClr val="000000"/>
              </a:solidFill>
            </a:rPr>
            <a:t>除</a:t>
          </a:r>
        </a:p>
      </xdr:txBody>
    </xdr:sp>
    <xdr:clientData/>
  </xdr:twoCellAnchor>
  <xdr:twoCellAnchor>
    <xdr:from>
      <xdr:col>0</xdr:col>
      <xdr:colOff>1520266</xdr:colOff>
      <xdr:row>10</xdr:row>
      <xdr:rowOff>153147</xdr:rowOff>
    </xdr:from>
    <xdr:to>
      <xdr:col>1</xdr:col>
      <xdr:colOff>343648</xdr:colOff>
      <xdr:row>15</xdr:row>
      <xdr:rowOff>74706</xdr:rowOff>
    </xdr:to>
    <xdr:sp macro="" textlink="">
      <xdr:nvSpPr>
        <xdr:cNvPr id="10" name="円/楕円 9"/>
        <xdr:cNvSpPr/>
      </xdr:nvSpPr>
      <xdr:spPr>
        <a:xfrm>
          <a:off x="1520266" y="1979706"/>
          <a:ext cx="762000" cy="762000"/>
        </a:xfrm>
        <a:prstGeom prst="ellipse">
          <a:avLst/>
        </a:prstGeom>
        <a:solidFill>
          <a:srgbClr val="E6E6FA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overflow" horzOverflow="overflow" vert="horz" wrap="none" lIns="91440" tIns="45720" rIns="91440" bIns="45720" numCol="1" spcCol="0" rtlCol="0" fromWordArt="0" anchor="ctr" anchorCtr="0" forceAA="0" compatLnSpc="1"/>
        <a:lstStyle/>
        <a:p>
          <a:pPr algn="ctr"/>
          <a:r>
            <a:rPr kumimoji="1" lang="en-US" altLang="ja-JP" sz="1100">
              <a:solidFill>
                <a:srgbClr val="000000"/>
              </a:solidFill>
            </a:rPr>
            <a:t>1.</a:t>
          </a:r>
          <a:r>
            <a:rPr kumimoji="1" lang="ja-JP" altLang="en-US" sz="1100">
              <a:solidFill>
                <a:srgbClr val="000000"/>
              </a:solidFill>
            </a:rPr>
            <a:t>ゴミ捨</a:t>
          </a:r>
        </a:p>
        <a:p>
          <a:pPr algn="ctr"/>
          <a:r>
            <a:rPr kumimoji="1" lang="ja-JP" altLang="en-US" sz="1100">
              <a:solidFill>
                <a:srgbClr val="000000"/>
              </a:solidFill>
            </a:rPr>
            <a:t>て</a:t>
          </a:r>
        </a:p>
      </xdr:txBody>
    </xdr:sp>
    <xdr:clientData/>
  </xdr:twoCellAnchor>
  <xdr:twoCellAnchor>
    <xdr:from>
      <xdr:col>2</xdr:col>
      <xdr:colOff>2566148</xdr:colOff>
      <xdr:row>21</xdr:row>
      <xdr:rowOff>52294</xdr:rowOff>
    </xdr:from>
    <xdr:to>
      <xdr:col>2</xdr:col>
      <xdr:colOff>3328148</xdr:colOff>
      <xdr:row>25</xdr:row>
      <xdr:rowOff>141941</xdr:rowOff>
    </xdr:to>
    <xdr:sp macro="" textlink="">
      <xdr:nvSpPr>
        <xdr:cNvPr id="11" name="円/楕円 10"/>
        <xdr:cNvSpPr/>
      </xdr:nvSpPr>
      <xdr:spPr>
        <a:xfrm>
          <a:off x="6320119" y="3727823"/>
          <a:ext cx="762000" cy="762000"/>
        </a:xfrm>
        <a:prstGeom prst="ellipse">
          <a:avLst/>
        </a:prstGeom>
        <a:solidFill>
          <a:srgbClr val="E6E6FA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overflow" horzOverflow="overflow" vert="horz" wrap="none" lIns="91440" tIns="45720" rIns="91440" bIns="45720" numCol="1" spcCol="0" rtlCol="0" fromWordArt="0" anchor="ctr" anchorCtr="0" forceAA="0" compatLnSpc="1"/>
        <a:lstStyle/>
        <a:p>
          <a:pPr algn="ctr"/>
          <a:r>
            <a:rPr kumimoji="1" lang="arn-CL" altLang="ja-JP" sz="1100">
              <a:solidFill>
                <a:srgbClr val="000000"/>
              </a:solidFill>
            </a:rPr>
            <a:t>14.EN</a:t>
          </a:r>
        </a:p>
        <a:p>
          <a:pPr algn="ctr"/>
          <a:r>
            <a:rPr kumimoji="1" lang="arn-CL" altLang="ja-JP" sz="1100">
              <a:solidFill>
                <a:srgbClr val="000000"/>
              </a:solidFill>
            </a:rPr>
            <a:t>D</a:t>
          </a:r>
          <a:endParaRPr kumimoji="1" lang="ja-JP" altLang="en-US" sz="1100">
            <a:solidFill>
              <a:srgbClr val="000000"/>
            </a:solidFill>
          </a:endParaRPr>
        </a:p>
      </xdr:txBody>
    </xdr:sp>
    <xdr:clientData/>
  </xdr:twoCellAnchor>
  <xdr:twoCellAnchor>
    <xdr:from>
      <xdr:col>1</xdr:col>
      <xdr:colOff>668617</xdr:colOff>
      <xdr:row>29</xdr:row>
      <xdr:rowOff>41089</xdr:rowOff>
    </xdr:from>
    <xdr:to>
      <xdr:col>1</xdr:col>
      <xdr:colOff>1430617</xdr:colOff>
      <xdr:row>33</xdr:row>
      <xdr:rowOff>130736</xdr:rowOff>
    </xdr:to>
    <xdr:sp macro="" textlink="">
      <xdr:nvSpPr>
        <xdr:cNvPr id="13" name="円/楕円 12"/>
        <xdr:cNvSpPr/>
      </xdr:nvSpPr>
      <xdr:spPr>
        <a:xfrm>
          <a:off x="2607235" y="5061324"/>
          <a:ext cx="762000" cy="762000"/>
        </a:xfrm>
        <a:prstGeom prst="ellipse">
          <a:avLst/>
        </a:prstGeom>
        <a:solidFill>
          <a:srgbClr val="E6E6FA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overflow" horzOverflow="overflow" vert="horz" wrap="none" lIns="91440" tIns="45720" rIns="91440" bIns="45720" numCol="1" spcCol="0" rtlCol="0" fromWordArt="0" anchor="ctr" anchorCtr="0" forceAA="0" compatLnSpc="1"/>
        <a:lstStyle/>
        <a:p>
          <a:pPr algn="ctr"/>
          <a:r>
            <a:rPr kumimoji="1" lang="en-US" altLang="ja-JP" sz="1100">
              <a:solidFill>
                <a:srgbClr val="000000"/>
              </a:solidFill>
            </a:rPr>
            <a:t>7.</a:t>
          </a:r>
          <a:r>
            <a:rPr kumimoji="1" lang="ja-JP" altLang="en-US" sz="1100">
              <a:solidFill>
                <a:srgbClr val="000000"/>
              </a:solidFill>
            </a:rPr>
            <a:t>消耗品</a:t>
          </a:r>
        </a:p>
        <a:p>
          <a:pPr algn="ctr"/>
          <a:r>
            <a:rPr kumimoji="1" lang="ja-JP" altLang="en-US" sz="1100">
              <a:solidFill>
                <a:srgbClr val="000000"/>
              </a:solidFill>
            </a:rPr>
            <a:t>発注</a:t>
          </a:r>
        </a:p>
      </xdr:txBody>
    </xdr:sp>
    <xdr:clientData/>
  </xdr:twoCellAnchor>
  <xdr:twoCellAnchor>
    <xdr:from>
      <xdr:col>1</xdr:col>
      <xdr:colOff>676088</xdr:colOff>
      <xdr:row>11</xdr:row>
      <xdr:rowOff>29882</xdr:rowOff>
    </xdr:from>
    <xdr:to>
      <xdr:col>1</xdr:col>
      <xdr:colOff>1438088</xdr:colOff>
      <xdr:row>15</xdr:row>
      <xdr:rowOff>119529</xdr:rowOff>
    </xdr:to>
    <xdr:sp macro="" textlink="">
      <xdr:nvSpPr>
        <xdr:cNvPr id="3" name="円/楕円 2"/>
        <xdr:cNvSpPr/>
      </xdr:nvSpPr>
      <xdr:spPr>
        <a:xfrm>
          <a:off x="2614706" y="2024529"/>
          <a:ext cx="762000" cy="762000"/>
        </a:xfrm>
        <a:prstGeom prst="ellipse">
          <a:avLst/>
        </a:prstGeom>
        <a:solidFill>
          <a:srgbClr val="E6E6FA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overflow" horzOverflow="overflow" vert="horz" wrap="none" lIns="91440" tIns="45720" rIns="91440" bIns="45720" numCol="1" spcCol="0" rtlCol="0" fromWordArt="0" anchor="ctr" anchorCtr="0" forceAA="0" compatLnSpc="1"/>
        <a:lstStyle/>
        <a:p>
          <a:pPr algn="ctr"/>
          <a:r>
            <a:rPr kumimoji="1" lang="en-US" altLang="ja-JP" sz="1100">
              <a:solidFill>
                <a:srgbClr val="000000"/>
              </a:solidFill>
            </a:rPr>
            <a:t>2.</a:t>
          </a:r>
          <a:r>
            <a:rPr kumimoji="1" lang="ja-JP" altLang="en-US" sz="1100">
              <a:solidFill>
                <a:srgbClr val="000000"/>
              </a:solidFill>
            </a:rPr>
            <a:t>床のモ</a:t>
          </a:r>
        </a:p>
        <a:p>
          <a:pPr algn="ctr"/>
          <a:r>
            <a:rPr kumimoji="1" lang="ja-JP" altLang="en-US" sz="1100">
              <a:solidFill>
                <a:srgbClr val="000000"/>
              </a:solidFill>
            </a:rPr>
            <a:t>ノを片付け</a:t>
          </a:r>
        </a:p>
        <a:p>
          <a:pPr algn="ctr"/>
          <a:r>
            <a:rPr kumimoji="1" lang="ja-JP" altLang="en-US" sz="1100">
              <a:solidFill>
                <a:srgbClr val="000000"/>
              </a:solidFill>
            </a:rPr>
            <a:t>る</a:t>
          </a:r>
        </a:p>
      </xdr:txBody>
    </xdr:sp>
    <xdr:clientData/>
  </xdr:twoCellAnchor>
  <xdr:twoCellAnchor>
    <xdr:from>
      <xdr:col>0</xdr:col>
      <xdr:colOff>1583764</xdr:colOff>
      <xdr:row>46</xdr:row>
      <xdr:rowOff>134471</xdr:rowOff>
    </xdr:from>
    <xdr:to>
      <xdr:col>1</xdr:col>
      <xdr:colOff>416111</xdr:colOff>
      <xdr:row>51</xdr:row>
      <xdr:rowOff>52669</xdr:rowOff>
    </xdr:to>
    <xdr:sp macro="" textlink="">
      <xdr:nvSpPr>
        <xdr:cNvPr id="5" name="円/楕円 4"/>
        <xdr:cNvSpPr/>
      </xdr:nvSpPr>
      <xdr:spPr>
        <a:xfrm>
          <a:off x="1583764" y="8164046"/>
          <a:ext cx="765922" cy="775448"/>
        </a:xfrm>
        <a:prstGeom prst="ellipse">
          <a:avLst/>
        </a:prstGeom>
        <a:solidFill>
          <a:srgbClr val="E6E6FA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overflow" horzOverflow="overflow" vert="horz" wrap="none" lIns="91440" tIns="45720" rIns="91440" bIns="45720" numCol="1" spcCol="0" rtlCol="0" fromWordArt="0" anchor="ctr" anchorCtr="0" forceAA="0" compatLnSpc="1"/>
        <a:lstStyle/>
        <a:p>
          <a:pPr algn="ctr"/>
          <a:r>
            <a:rPr kumimoji="1" lang="en-US" altLang="ja-JP" sz="1100">
              <a:solidFill>
                <a:srgbClr val="000000"/>
              </a:solidFill>
            </a:rPr>
            <a:t>10.</a:t>
          </a:r>
          <a:r>
            <a:rPr kumimoji="1" lang="ja-JP" altLang="en-US" sz="1100">
              <a:solidFill>
                <a:srgbClr val="000000"/>
              </a:solidFill>
            </a:rPr>
            <a:t>衣類</a:t>
          </a:r>
        </a:p>
        <a:p>
          <a:pPr algn="ctr"/>
          <a:r>
            <a:rPr kumimoji="1" lang="ja-JP" altLang="en-US" sz="1100">
              <a:solidFill>
                <a:srgbClr val="000000"/>
              </a:solidFill>
            </a:rPr>
            <a:t>の在庫確認</a:t>
          </a:r>
        </a:p>
      </xdr:txBody>
    </xdr:sp>
    <xdr:clientData/>
  </xdr:twoCellAnchor>
  <xdr:twoCellAnchor>
    <xdr:from>
      <xdr:col>0</xdr:col>
      <xdr:colOff>1583764</xdr:colOff>
      <xdr:row>29</xdr:row>
      <xdr:rowOff>4483</xdr:rowOff>
    </xdr:from>
    <xdr:to>
      <xdr:col>1</xdr:col>
      <xdr:colOff>412189</xdr:colOff>
      <xdr:row>33</xdr:row>
      <xdr:rowOff>94130</xdr:rowOff>
    </xdr:to>
    <xdr:sp macro="" textlink="">
      <xdr:nvSpPr>
        <xdr:cNvPr id="12" name="円/楕円 11"/>
        <xdr:cNvSpPr/>
      </xdr:nvSpPr>
      <xdr:spPr>
        <a:xfrm>
          <a:off x="1583764" y="5024718"/>
          <a:ext cx="767043" cy="762000"/>
        </a:xfrm>
        <a:prstGeom prst="ellipse">
          <a:avLst/>
        </a:prstGeom>
        <a:solidFill>
          <a:srgbClr val="E6E6FA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overflow" horzOverflow="overflow" vert="horz" wrap="none" lIns="91440" tIns="45720" rIns="91440" bIns="45720" numCol="1" spcCol="0" rtlCol="0" fromWordArt="0" anchor="ctr" anchorCtr="0" forceAA="0" compatLnSpc="1"/>
        <a:lstStyle/>
        <a:p>
          <a:pPr algn="ctr"/>
          <a:r>
            <a:rPr kumimoji="1" lang="en-US" altLang="ja-JP" sz="1100">
              <a:solidFill>
                <a:srgbClr val="000000"/>
              </a:solidFill>
            </a:rPr>
            <a:t>6.</a:t>
          </a:r>
          <a:r>
            <a:rPr kumimoji="1" lang="ja-JP" altLang="en-US" sz="1100">
              <a:solidFill>
                <a:srgbClr val="000000"/>
              </a:solidFill>
            </a:rPr>
            <a:t>消耗品</a:t>
          </a:r>
        </a:p>
        <a:p>
          <a:pPr algn="ctr"/>
          <a:r>
            <a:rPr kumimoji="1" lang="ja-JP" altLang="en-US" sz="1100">
              <a:solidFill>
                <a:srgbClr val="000000"/>
              </a:solidFill>
            </a:rPr>
            <a:t>チェック</a:t>
          </a:r>
        </a:p>
      </xdr:txBody>
    </xdr:sp>
    <xdr:clientData/>
  </xdr:twoCellAnchor>
  <xdr:twoCellAnchor>
    <xdr:from>
      <xdr:col>0</xdr:col>
      <xdr:colOff>1583764</xdr:colOff>
      <xdr:row>34</xdr:row>
      <xdr:rowOff>159871</xdr:rowOff>
    </xdr:from>
    <xdr:to>
      <xdr:col>1</xdr:col>
      <xdr:colOff>416671</xdr:colOff>
      <xdr:row>39</xdr:row>
      <xdr:rowOff>81429</xdr:rowOff>
    </xdr:to>
    <xdr:sp macro="" textlink="">
      <xdr:nvSpPr>
        <xdr:cNvPr id="14" name="円/楕円 13"/>
        <xdr:cNvSpPr/>
      </xdr:nvSpPr>
      <xdr:spPr>
        <a:xfrm>
          <a:off x="1583764" y="6020547"/>
          <a:ext cx="771525" cy="762000"/>
        </a:xfrm>
        <a:prstGeom prst="ellipse">
          <a:avLst/>
        </a:prstGeom>
        <a:solidFill>
          <a:srgbClr val="E6E6FA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overflow" horzOverflow="overflow" vert="horz" wrap="none" lIns="91440" tIns="45720" rIns="91440" bIns="45720" numCol="1" spcCol="0" rtlCol="0" fromWordArt="0" anchor="ctr" anchorCtr="0" forceAA="0" compatLnSpc="1"/>
        <a:lstStyle/>
        <a:p>
          <a:pPr algn="ctr"/>
          <a:r>
            <a:rPr kumimoji="1" lang="en-US" altLang="ja-JP" sz="1100">
              <a:solidFill>
                <a:srgbClr val="000000"/>
              </a:solidFill>
            </a:rPr>
            <a:t>8.</a:t>
          </a:r>
          <a:r>
            <a:rPr kumimoji="1" lang="ja-JP" altLang="en-US" sz="1100">
              <a:solidFill>
                <a:srgbClr val="000000"/>
              </a:solidFill>
            </a:rPr>
            <a:t>換気</a:t>
          </a:r>
        </a:p>
      </xdr:txBody>
    </xdr:sp>
    <xdr:clientData/>
  </xdr:twoCellAnchor>
  <xdr:twoCellAnchor>
    <xdr:from>
      <xdr:col>0</xdr:col>
      <xdr:colOff>1583764</xdr:colOff>
      <xdr:row>40</xdr:row>
      <xdr:rowOff>147171</xdr:rowOff>
    </xdr:from>
    <xdr:to>
      <xdr:col>1</xdr:col>
      <xdr:colOff>414430</xdr:colOff>
      <xdr:row>45</xdr:row>
      <xdr:rowOff>68730</xdr:rowOff>
    </xdr:to>
    <xdr:sp macro="" textlink="">
      <xdr:nvSpPr>
        <xdr:cNvPr id="15" name="円/楕円 14"/>
        <xdr:cNvSpPr/>
      </xdr:nvSpPr>
      <xdr:spPr>
        <a:xfrm>
          <a:off x="1583764" y="7016377"/>
          <a:ext cx="769284" cy="762000"/>
        </a:xfrm>
        <a:prstGeom prst="ellipse">
          <a:avLst/>
        </a:prstGeom>
        <a:solidFill>
          <a:srgbClr val="E6E6FA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overflow" horzOverflow="overflow" vert="horz" wrap="none" lIns="91440" tIns="45720" rIns="91440" bIns="45720" numCol="1" spcCol="0" rtlCol="0" fromWordArt="0" anchor="ctr" anchorCtr="0" forceAA="0" compatLnSpc="1"/>
        <a:lstStyle/>
        <a:p>
          <a:pPr algn="ctr"/>
          <a:r>
            <a:rPr kumimoji="1" lang="en-US" altLang="ja-JP" sz="1100">
              <a:solidFill>
                <a:srgbClr val="000000"/>
              </a:solidFill>
            </a:rPr>
            <a:t>9.</a:t>
          </a:r>
          <a:r>
            <a:rPr kumimoji="1" lang="ja-JP" altLang="en-US" sz="1100">
              <a:solidFill>
                <a:srgbClr val="000000"/>
              </a:solidFill>
            </a:rPr>
            <a:t>風呂掃</a:t>
          </a:r>
        </a:p>
        <a:p>
          <a:pPr algn="ctr"/>
          <a:r>
            <a:rPr kumimoji="1" lang="ja-JP" altLang="en-US" sz="1100">
              <a:solidFill>
                <a:srgbClr val="000000"/>
              </a:solidFill>
            </a:rPr>
            <a:t>除</a:t>
          </a:r>
        </a:p>
      </xdr:txBody>
    </xdr:sp>
    <xdr:clientData/>
  </xdr:twoCellAnchor>
  <xdr:twoCellAnchor>
    <xdr:from>
      <xdr:col>0</xdr:col>
      <xdr:colOff>1583764</xdr:colOff>
      <xdr:row>23</xdr:row>
      <xdr:rowOff>17182</xdr:rowOff>
    </xdr:from>
    <xdr:to>
      <xdr:col>1</xdr:col>
      <xdr:colOff>414431</xdr:colOff>
      <xdr:row>27</xdr:row>
      <xdr:rowOff>110191</xdr:rowOff>
    </xdr:to>
    <xdr:sp macro="" textlink="">
      <xdr:nvSpPr>
        <xdr:cNvPr id="16" name="円/楕円 15"/>
        <xdr:cNvSpPr/>
      </xdr:nvSpPr>
      <xdr:spPr>
        <a:xfrm>
          <a:off x="1583764" y="4103407"/>
          <a:ext cx="764242" cy="778809"/>
        </a:xfrm>
        <a:prstGeom prst="ellipse">
          <a:avLst/>
        </a:prstGeom>
        <a:solidFill>
          <a:srgbClr val="E6E6FA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overflow" horzOverflow="overflow" vert="horz" wrap="none" lIns="91440" tIns="45720" rIns="91440" bIns="45720" numCol="1" spcCol="0" rtlCol="0" fromWordArt="0" anchor="ctr" anchorCtr="0" forceAA="0" compatLnSpc="1"/>
        <a:lstStyle/>
        <a:p>
          <a:pPr algn="ctr"/>
          <a:r>
            <a:rPr kumimoji="1" lang="en-US" altLang="ja-JP" sz="1100">
              <a:solidFill>
                <a:srgbClr val="000000"/>
              </a:solidFill>
            </a:rPr>
            <a:t>5.</a:t>
          </a:r>
          <a:r>
            <a:rPr kumimoji="1" lang="ja-JP" altLang="en-US" sz="1100">
              <a:solidFill>
                <a:srgbClr val="000000"/>
              </a:solidFill>
            </a:rPr>
            <a:t>トイレ</a:t>
          </a:r>
        </a:p>
        <a:p>
          <a:pPr algn="ctr"/>
          <a:r>
            <a:rPr kumimoji="1" lang="ja-JP" altLang="en-US" sz="1100">
              <a:solidFill>
                <a:srgbClr val="000000"/>
              </a:solidFill>
            </a:rPr>
            <a:t>掃除</a:t>
          </a:r>
        </a:p>
      </xdr:txBody>
    </xdr:sp>
    <xdr:clientData/>
  </xdr:twoCellAnchor>
  <xdr:twoCellAnchor>
    <xdr:from>
      <xdr:col>0</xdr:col>
      <xdr:colOff>829236</xdr:colOff>
      <xdr:row>13</xdr:row>
      <xdr:rowOff>29882</xdr:rowOff>
    </xdr:from>
    <xdr:to>
      <xdr:col>0</xdr:col>
      <xdr:colOff>1520266</xdr:colOff>
      <xdr:row>29</xdr:row>
      <xdr:rowOff>7471</xdr:rowOff>
    </xdr:to>
    <xdr:cxnSp macro="">
      <xdr:nvCxnSpPr>
        <xdr:cNvPr id="25" name="直線矢印コネクタ 24"/>
        <xdr:cNvCxnSpPr>
          <a:stCxn id="2" idx="6"/>
          <a:endCxn id="10" idx="2"/>
        </xdr:cNvCxnSpPr>
      </xdr:nvCxnSpPr>
      <xdr:spPr>
        <a:xfrm flipV="1">
          <a:off x="829236" y="2360706"/>
          <a:ext cx="691030" cy="2667000"/>
        </a:xfrm>
        <a:prstGeom prst="straightConnector1">
          <a:avLst/>
        </a:prstGeom>
        <a:ln>
          <a:solidFill>
            <a:srgbClr val="696969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829236</xdr:colOff>
      <xdr:row>29</xdr:row>
      <xdr:rowOff>7471</xdr:rowOff>
    </xdr:from>
    <xdr:to>
      <xdr:col>0</xdr:col>
      <xdr:colOff>1583764</xdr:colOff>
      <xdr:row>49</xdr:row>
      <xdr:rowOff>9526</xdr:rowOff>
    </xdr:to>
    <xdr:cxnSp macro="">
      <xdr:nvCxnSpPr>
        <xdr:cNvPr id="26" name="直線矢印コネクタ 25"/>
        <xdr:cNvCxnSpPr>
          <a:stCxn id="2" idx="6"/>
          <a:endCxn id="5" idx="2"/>
        </xdr:cNvCxnSpPr>
      </xdr:nvCxnSpPr>
      <xdr:spPr>
        <a:xfrm>
          <a:off x="829236" y="5027706"/>
          <a:ext cx="754528" cy="3363820"/>
        </a:xfrm>
        <a:prstGeom prst="straightConnector1">
          <a:avLst/>
        </a:prstGeom>
        <a:ln>
          <a:solidFill>
            <a:srgbClr val="696969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829236</xdr:colOff>
      <xdr:row>29</xdr:row>
      <xdr:rowOff>7471</xdr:rowOff>
    </xdr:from>
    <xdr:to>
      <xdr:col>0</xdr:col>
      <xdr:colOff>1583764</xdr:colOff>
      <xdr:row>31</xdr:row>
      <xdr:rowOff>49306</xdr:rowOff>
    </xdr:to>
    <xdr:cxnSp macro="">
      <xdr:nvCxnSpPr>
        <xdr:cNvPr id="27" name="直線矢印コネクタ 26"/>
        <xdr:cNvCxnSpPr>
          <a:stCxn id="2" idx="6"/>
          <a:endCxn id="12" idx="2"/>
        </xdr:cNvCxnSpPr>
      </xdr:nvCxnSpPr>
      <xdr:spPr>
        <a:xfrm>
          <a:off x="829236" y="5027706"/>
          <a:ext cx="754528" cy="378012"/>
        </a:xfrm>
        <a:prstGeom prst="straightConnector1">
          <a:avLst/>
        </a:prstGeom>
        <a:ln>
          <a:solidFill>
            <a:srgbClr val="696969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829236</xdr:colOff>
      <xdr:row>29</xdr:row>
      <xdr:rowOff>7471</xdr:rowOff>
    </xdr:from>
    <xdr:to>
      <xdr:col>0</xdr:col>
      <xdr:colOff>1583764</xdr:colOff>
      <xdr:row>37</xdr:row>
      <xdr:rowOff>36606</xdr:rowOff>
    </xdr:to>
    <xdr:cxnSp macro="">
      <xdr:nvCxnSpPr>
        <xdr:cNvPr id="28" name="直線矢印コネクタ 27"/>
        <xdr:cNvCxnSpPr>
          <a:stCxn id="2" idx="6"/>
          <a:endCxn id="14" idx="2"/>
        </xdr:cNvCxnSpPr>
      </xdr:nvCxnSpPr>
      <xdr:spPr>
        <a:xfrm>
          <a:off x="829236" y="5027706"/>
          <a:ext cx="754528" cy="1373841"/>
        </a:xfrm>
        <a:prstGeom prst="straightConnector1">
          <a:avLst/>
        </a:prstGeom>
        <a:ln>
          <a:solidFill>
            <a:srgbClr val="696969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829236</xdr:colOff>
      <xdr:row>29</xdr:row>
      <xdr:rowOff>7471</xdr:rowOff>
    </xdr:from>
    <xdr:to>
      <xdr:col>0</xdr:col>
      <xdr:colOff>1583764</xdr:colOff>
      <xdr:row>43</xdr:row>
      <xdr:rowOff>23906</xdr:rowOff>
    </xdr:to>
    <xdr:cxnSp macro="">
      <xdr:nvCxnSpPr>
        <xdr:cNvPr id="29" name="直線矢印コネクタ 28"/>
        <xdr:cNvCxnSpPr>
          <a:stCxn id="2" idx="6"/>
          <a:endCxn id="15" idx="2"/>
        </xdr:cNvCxnSpPr>
      </xdr:nvCxnSpPr>
      <xdr:spPr>
        <a:xfrm>
          <a:off x="829236" y="5027706"/>
          <a:ext cx="754528" cy="2369671"/>
        </a:xfrm>
        <a:prstGeom prst="straightConnector1">
          <a:avLst/>
        </a:prstGeom>
        <a:ln>
          <a:solidFill>
            <a:srgbClr val="696969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829236</xdr:colOff>
      <xdr:row>25</xdr:row>
      <xdr:rowOff>63687</xdr:rowOff>
    </xdr:from>
    <xdr:to>
      <xdr:col>0</xdr:col>
      <xdr:colOff>1583764</xdr:colOff>
      <xdr:row>29</xdr:row>
      <xdr:rowOff>7471</xdr:rowOff>
    </xdr:to>
    <xdr:cxnSp macro="">
      <xdr:nvCxnSpPr>
        <xdr:cNvPr id="30" name="直線矢印コネクタ 29"/>
        <xdr:cNvCxnSpPr>
          <a:stCxn id="2" idx="6"/>
          <a:endCxn id="16" idx="2"/>
        </xdr:cNvCxnSpPr>
      </xdr:nvCxnSpPr>
      <xdr:spPr>
        <a:xfrm flipV="1">
          <a:off x="829236" y="4411569"/>
          <a:ext cx="754528" cy="616137"/>
        </a:xfrm>
        <a:prstGeom prst="straightConnector1">
          <a:avLst/>
        </a:prstGeom>
        <a:ln>
          <a:solidFill>
            <a:srgbClr val="696969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343648</xdr:colOff>
      <xdr:row>13</xdr:row>
      <xdr:rowOff>28202</xdr:rowOff>
    </xdr:from>
    <xdr:to>
      <xdr:col>1</xdr:col>
      <xdr:colOff>676088</xdr:colOff>
      <xdr:row>13</xdr:row>
      <xdr:rowOff>74706</xdr:rowOff>
    </xdr:to>
    <xdr:cxnSp macro="">
      <xdr:nvCxnSpPr>
        <xdr:cNvPr id="31" name="直線矢印コネクタ 30"/>
        <xdr:cNvCxnSpPr>
          <a:stCxn id="10" idx="6"/>
          <a:endCxn id="3" idx="2"/>
        </xdr:cNvCxnSpPr>
      </xdr:nvCxnSpPr>
      <xdr:spPr>
        <a:xfrm>
          <a:off x="2277223" y="2399927"/>
          <a:ext cx="332440" cy="46504"/>
        </a:xfrm>
        <a:prstGeom prst="straightConnector1">
          <a:avLst/>
        </a:prstGeom>
        <a:ln>
          <a:solidFill>
            <a:srgbClr val="696969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343648</xdr:colOff>
      <xdr:row>13</xdr:row>
      <xdr:rowOff>28202</xdr:rowOff>
    </xdr:from>
    <xdr:to>
      <xdr:col>1</xdr:col>
      <xdr:colOff>732118</xdr:colOff>
      <xdr:row>19</xdr:row>
      <xdr:rowOff>97119</xdr:rowOff>
    </xdr:to>
    <xdr:cxnSp macro="">
      <xdr:nvCxnSpPr>
        <xdr:cNvPr id="1024" name="直線矢印コネクタ 1023"/>
        <xdr:cNvCxnSpPr>
          <a:stCxn id="10" idx="6"/>
          <a:endCxn id="9" idx="2"/>
        </xdr:cNvCxnSpPr>
      </xdr:nvCxnSpPr>
      <xdr:spPr>
        <a:xfrm>
          <a:off x="2277223" y="2399927"/>
          <a:ext cx="388470" cy="1097617"/>
        </a:xfrm>
        <a:prstGeom prst="straightConnector1">
          <a:avLst/>
        </a:prstGeom>
        <a:ln>
          <a:solidFill>
            <a:srgbClr val="696969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1438088</xdr:colOff>
      <xdr:row>13</xdr:row>
      <xdr:rowOff>52295</xdr:rowOff>
    </xdr:from>
    <xdr:to>
      <xdr:col>1</xdr:col>
      <xdr:colOff>1654735</xdr:colOff>
      <xdr:row>13</xdr:row>
      <xdr:rowOff>74706</xdr:rowOff>
    </xdr:to>
    <xdr:cxnSp macro="">
      <xdr:nvCxnSpPr>
        <xdr:cNvPr id="1026" name="直線矢印コネクタ 1025"/>
        <xdr:cNvCxnSpPr>
          <a:stCxn id="3" idx="6"/>
          <a:endCxn id="4" idx="2"/>
        </xdr:cNvCxnSpPr>
      </xdr:nvCxnSpPr>
      <xdr:spPr>
        <a:xfrm flipV="1">
          <a:off x="3371663" y="2424020"/>
          <a:ext cx="216647" cy="22411"/>
        </a:xfrm>
        <a:prstGeom prst="straightConnector1">
          <a:avLst/>
        </a:prstGeom>
        <a:ln>
          <a:solidFill>
            <a:srgbClr val="696969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601382</xdr:colOff>
      <xdr:row>13</xdr:row>
      <xdr:rowOff>52294</xdr:rowOff>
    </xdr:from>
    <xdr:to>
      <xdr:col>2</xdr:col>
      <xdr:colOff>2566148</xdr:colOff>
      <xdr:row>23</xdr:row>
      <xdr:rowOff>97117</xdr:rowOff>
    </xdr:to>
    <xdr:cxnSp macro="">
      <xdr:nvCxnSpPr>
        <xdr:cNvPr id="1038" name="直線矢印コネクタ 1037"/>
        <xdr:cNvCxnSpPr>
          <a:stCxn id="4" idx="6"/>
          <a:endCxn id="11" idx="2"/>
        </xdr:cNvCxnSpPr>
      </xdr:nvCxnSpPr>
      <xdr:spPr>
        <a:xfrm>
          <a:off x="4355353" y="2383118"/>
          <a:ext cx="1964766" cy="1725705"/>
        </a:xfrm>
        <a:prstGeom prst="straightConnector1">
          <a:avLst/>
        </a:prstGeom>
        <a:ln>
          <a:solidFill>
            <a:srgbClr val="696969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1494118</xdr:colOff>
      <xdr:row>19</xdr:row>
      <xdr:rowOff>97118</xdr:rowOff>
    </xdr:from>
    <xdr:to>
      <xdr:col>2</xdr:col>
      <xdr:colOff>2566148</xdr:colOff>
      <xdr:row>23</xdr:row>
      <xdr:rowOff>97117</xdr:rowOff>
    </xdr:to>
    <xdr:cxnSp macro="">
      <xdr:nvCxnSpPr>
        <xdr:cNvPr id="1039" name="直線矢印コネクタ 1038"/>
        <xdr:cNvCxnSpPr>
          <a:stCxn id="9" idx="6"/>
          <a:endCxn id="11" idx="2"/>
        </xdr:cNvCxnSpPr>
      </xdr:nvCxnSpPr>
      <xdr:spPr>
        <a:xfrm>
          <a:off x="3432736" y="3436471"/>
          <a:ext cx="2887383" cy="672352"/>
        </a:xfrm>
        <a:prstGeom prst="straightConnector1">
          <a:avLst/>
        </a:prstGeom>
        <a:ln>
          <a:solidFill>
            <a:srgbClr val="696969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416111</xdr:colOff>
      <xdr:row>49</xdr:row>
      <xdr:rowOff>9526</xdr:rowOff>
    </xdr:from>
    <xdr:to>
      <xdr:col>1</xdr:col>
      <xdr:colOff>911410</xdr:colOff>
      <xdr:row>49</xdr:row>
      <xdr:rowOff>41088</xdr:rowOff>
    </xdr:to>
    <xdr:cxnSp macro="">
      <xdr:nvCxnSpPr>
        <xdr:cNvPr id="1042" name="直線矢印コネクタ 1041"/>
        <xdr:cNvCxnSpPr>
          <a:stCxn id="5" idx="6"/>
          <a:endCxn id="6" idx="2"/>
        </xdr:cNvCxnSpPr>
      </xdr:nvCxnSpPr>
      <xdr:spPr>
        <a:xfrm>
          <a:off x="2354729" y="8391526"/>
          <a:ext cx="495299" cy="31562"/>
        </a:xfrm>
        <a:prstGeom prst="straightConnector1">
          <a:avLst/>
        </a:prstGeom>
        <a:ln>
          <a:solidFill>
            <a:srgbClr val="696969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1673410</xdr:colOff>
      <xdr:row>49</xdr:row>
      <xdr:rowOff>41088</xdr:rowOff>
    </xdr:from>
    <xdr:to>
      <xdr:col>2</xdr:col>
      <xdr:colOff>33616</xdr:colOff>
      <xdr:row>49</xdr:row>
      <xdr:rowOff>52294</xdr:rowOff>
    </xdr:to>
    <xdr:cxnSp macro="">
      <xdr:nvCxnSpPr>
        <xdr:cNvPr id="1043" name="直線矢印コネクタ 1042"/>
        <xdr:cNvCxnSpPr>
          <a:stCxn id="6" idx="6"/>
          <a:endCxn id="8" idx="2"/>
        </xdr:cNvCxnSpPr>
      </xdr:nvCxnSpPr>
      <xdr:spPr>
        <a:xfrm>
          <a:off x="3612028" y="8423088"/>
          <a:ext cx="175559" cy="11206"/>
        </a:xfrm>
        <a:prstGeom prst="straightConnector1">
          <a:avLst/>
        </a:prstGeom>
        <a:ln>
          <a:solidFill>
            <a:srgbClr val="696969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795616</xdr:colOff>
      <xdr:row>49</xdr:row>
      <xdr:rowOff>52293</xdr:rowOff>
    </xdr:from>
    <xdr:to>
      <xdr:col>2</xdr:col>
      <xdr:colOff>1161674</xdr:colOff>
      <xdr:row>49</xdr:row>
      <xdr:rowOff>52294</xdr:rowOff>
    </xdr:to>
    <xdr:cxnSp macro="">
      <xdr:nvCxnSpPr>
        <xdr:cNvPr id="1044" name="直線矢印コネクタ 1043"/>
        <xdr:cNvCxnSpPr>
          <a:stCxn id="8" idx="6"/>
          <a:endCxn id="7" idx="2"/>
        </xdr:cNvCxnSpPr>
      </xdr:nvCxnSpPr>
      <xdr:spPr>
        <a:xfrm flipV="1">
          <a:off x="4549587" y="8434293"/>
          <a:ext cx="366058" cy="1"/>
        </a:xfrm>
        <a:prstGeom prst="straightConnector1">
          <a:avLst/>
        </a:prstGeom>
        <a:ln>
          <a:solidFill>
            <a:srgbClr val="696969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1923674</xdr:colOff>
      <xdr:row>23</xdr:row>
      <xdr:rowOff>97117</xdr:rowOff>
    </xdr:from>
    <xdr:to>
      <xdr:col>2</xdr:col>
      <xdr:colOff>2566148</xdr:colOff>
      <xdr:row>49</xdr:row>
      <xdr:rowOff>52293</xdr:rowOff>
    </xdr:to>
    <xdr:cxnSp macro="">
      <xdr:nvCxnSpPr>
        <xdr:cNvPr id="1045" name="直線矢印コネクタ 1044"/>
        <xdr:cNvCxnSpPr>
          <a:stCxn id="7" idx="6"/>
          <a:endCxn id="11" idx="2"/>
        </xdr:cNvCxnSpPr>
      </xdr:nvCxnSpPr>
      <xdr:spPr>
        <a:xfrm flipV="1">
          <a:off x="5677645" y="4108823"/>
          <a:ext cx="642474" cy="4325470"/>
        </a:xfrm>
        <a:prstGeom prst="straightConnector1">
          <a:avLst/>
        </a:prstGeom>
        <a:ln>
          <a:solidFill>
            <a:srgbClr val="696969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412189</xdr:colOff>
      <xdr:row>31</xdr:row>
      <xdr:rowOff>49307</xdr:rowOff>
    </xdr:from>
    <xdr:to>
      <xdr:col>1</xdr:col>
      <xdr:colOff>668617</xdr:colOff>
      <xdr:row>31</xdr:row>
      <xdr:rowOff>85913</xdr:rowOff>
    </xdr:to>
    <xdr:cxnSp macro="">
      <xdr:nvCxnSpPr>
        <xdr:cNvPr id="1046" name="直線矢印コネクタ 1045"/>
        <xdr:cNvCxnSpPr>
          <a:stCxn id="12" idx="6"/>
          <a:endCxn id="13" idx="2"/>
        </xdr:cNvCxnSpPr>
      </xdr:nvCxnSpPr>
      <xdr:spPr>
        <a:xfrm>
          <a:off x="2345764" y="5507132"/>
          <a:ext cx="256428" cy="36606"/>
        </a:xfrm>
        <a:prstGeom prst="straightConnector1">
          <a:avLst/>
        </a:prstGeom>
        <a:ln>
          <a:solidFill>
            <a:srgbClr val="696969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1430617</xdr:colOff>
      <xdr:row>23</xdr:row>
      <xdr:rowOff>97118</xdr:rowOff>
    </xdr:from>
    <xdr:to>
      <xdr:col>2</xdr:col>
      <xdr:colOff>2566148</xdr:colOff>
      <xdr:row>31</xdr:row>
      <xdr:rowOff>85913</xdr:rowOff>
    </xdr:to>
    <xdr:cxnSp macro="">
      <xdr:nvCxnSpPr>
        <xdr:cNvPr id="1056" name="直線矢印コネクタ 1055"/>
        <xdr:cNvCxnSpPr>
          <a:stCxn id="13" idx="6"/>
          <a:endCxn id="11" idx="2"/>
        </xdr:cNvCxnSpPr>
      </xdr:nvCxnSpPr>
      <xdr:spPr>
        <a:xfrm flipV="1">
          <a:off x="3364192" y="4183343"/>
          <a:ext cx="2954806" cy="1360395"/>
        </a:xfrm>
        <a:prstGeom prst="straightConnector1">
          <a:avLst/>
        </a:prstGeom>
        <a:ln>
          <a:solidFill>
            <a:srgbClr val="696969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414430</xdr:colOff>
      <xdr:row>23</xdr:row>
      <xdr:rowOff>97118</xdr:rowOff>
    </xdr:from>
    <xdr:to>
      <xdr:col>2</xdr:col>
      <xdr:colOff>2566148</xdr:colOff>
      <xdr:row>43</xdr:row>
      <xdr:rowOff>22226</xdr:rowOff>
    </xdr:to>
    <xdr:cxnSp macro="">
      <xdr:nvCxnSpPr>
        <xdr:cNvPr id="1067" name="直線矢印コネクタ 1066"/>
        <xdr:cNvCxnSpPr>
          <a:stCxn id="15" idx="6"/>
          <a:endCxn id="11" idx="2"/>
        </xdr:cNvCxnSpPr>
      </xdr:nvCxnSpPr>
      <xdr:spPr>
        <a:xfrm flipV="1">
          <a:off x="2348005" y="4183343"/>
          <a:ext cx="3970993" cy="3354108"/>
        </a:xfrm>
        <a:prstGeom prst="straightConnector1">
          <a:avLst/>
        </a:prstGeom>
        <a:ln>
          <a:solidFill>
            <a:srgbClr val="696969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416671</xdr:colOff>
      <xdr:row>23</xdr:row>
      <xdr:rowOff>97118</xdr:rowOff>
    </xdr:from>
    <xdr:to>
      <xdr:col>2</xdr:col>
      <xdr:colOff>2566148</xdr:colOff>
      <xdr:row>37</xdr:row>
      <xdr:rowOff>34925</xdr:rowOff>
    </xdr:to>
    <xdr:cxnSp macro="">
      <xdr:nvCxnSpPr>
        <xdr:cNvPr id="1068" name="直線矢印コネクタ 1067"/>
        <xdr:cNvCxnSpPr>
          <a:stCxn id="14" idx="6"/>
          <a:endCxn id="11" idx="2"/>
        </xdr:cNvCxnSpPr>
      </xdr:nvCxnSpPr>
      <xdr:spPr>
        <a:xfrm flipV="1">
          <a:off x="2350246" y="4183343"/>
          <a:ext cx="3968752" cy="2338107"/>
        </a:xfrm>
        <a:prstGeom prst="straightConnector1">
          <a:avLst/>
        </a:prstGeom>
        <a:ln>
          <a:solidFill>
            <a:srgbClr val="696969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414431</xdr:colOff>
      <xdr:row>23</xdr:row>
      <xdr:rowOff>97118</xdr:rowOff>
    </xdr:from>
    <xdr:to>
      <xdr:col>2</xdr:col>
      <xdr:colOff>2566148</xdr:colOff>
      <xdr:row>25</xdr:row>
      <xdr:rowOff>63687</xdr:rowOff>
    </xdr:to>
    <xdr:cxnSp macro="">
      <xdr:nvCxnSpPr>
        <xdr:cNvPr id="1069" name="直線矢印コネクタ 1068"/>
        <xdr:cNvCxnSpPr>
          <a:stCxn id="16" idx="6"/>
          <a:endCxn id="11" idx="2"/>
        </xdr:cNvCxnSpPr>
      </xdr:nvCxnSpPr>
      <xdr:spPr>
        <a:xfrm flipV="1">
          <a:off x="2348006" y="4183343"/>
          <a:ext cx="3970992" cy="309469"/>
        </a:xfrm>
        <a:prstGeom prst="straightConnector1">
          <a:avLst/>
        </a:prstGeom>
        <a:ln>
          <a:solidFill>
            <a:srgbClr val="696969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1494118</xdr:colOff>
      <xdr:row>13</xdr:row>
      <xdr:rowOff>52295</xdr:rowOff>
    </xdr:from>
    <xdr:to>
      <xdr:col>1</xdr:col>
      <xdr:colOff>1654735</xdr:colOff>
      <xdr:row>19</xdr:row>
      <xdr:rowOff>97119</xdr:rowOff>
    </xdr:to>
    <xdr:cxnSp macro="">
      <xdr:nvCxnSpPr>
        <xdr:cNvPr id="17" name="直線矢印コネクタ 16"/>
        <xdr:cNvCxnSpPr>
          <a:stCxn id="9" idx="6"/>
          <a:endCxn id="4" idx="2"/>
        </xdr:cNvCxnSpPr>
      </xdr:nvCxnSpPr>
      <xdr:spPr>
        <a:xfrm flipV="1">
          <a:off x="3427693" y="2424020"/>
          <a:ext cx="160617" cy="1073524"/>
        </a:xfrm>
        <a:prstGeom prst="straightConnector1">
          <a:avLst/>
        </a:prstGeom>
        <a:ln>
          <a:solidFill>
            <a:srgbClr val="696969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4" Type="http://schemas.openxmlformats.org/officeDocument/2006/relationships/ctrlProp" Target="../ctrlProps/ctrlProp1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DrawSheet"/>
  <dimension ref="A1:F9"/>
  <sheetViews>
    <sheetView showGridLines="0" tabSelected="1" zoomScale="85" zoomScaleNormal="85" workbookViewId="0"/>
  </sheetViews>
  <sheetFormatPr defaultRowHeight="13.5" x14ac:dyDescent="0.15"/>
  <cols>
    <col min="1" max="1" width="25.375" customWidth="1"/>
    <col min="2" max="2" width="23.875" customWidth="1"/>
    <col min="3" max="3" width="46" customWidth="1"/>
    <col min="4" max="4" width="23.25" customWidth="1"/>
    <col min="5" max="5" width="22.625" customWidth="1"/>
    <col min="6" max="6" width="9" customWidth="1"/>
  </cols>
  <sheetData>
    <row r="1" spans="1:6" s="4" customFormat="1" ht="24.75" customHeight="1" x14ac:dyDescent="0.15">
      <c r="A1" s="7" t="s">
        <v>14</v>
      </c>
      <c r="B1" s="7" t="s">
        <v>15</v>
      </c>
      <c r="C1" s="7" t="s">
        <v>16</v>
      </c>
      <c r="D1" s="7" t="s">
        <v>17</v>
      </c>
      <c r="E1" s="7" t="s">
        <v>18</v>
      </c>
      <c r="F1" s="5"/>
    </row>
    <row r="2" spans="1:6" s="4" customFormat="1" x14ac:dyDescent="0.15">
      <c r="A2" s="6"/>
      <c r="B2" s="6"/>
      <c r="C2" s="6"/>
      <c r="D2" s="6"/>
      <c r="E2" s="6"/>
      <c r="F2" s="5"/>
    </row>
    <row r="3" spans="1:6" s="4" customFormat="1" x14ac:dyDescent="0.15">
      <c r="A3" s="6"/>
      <c r="B3" s="6"/>
      <c r="C3" s="6"/>
      <c r="D3" s="6"/>
      <c r="E3" s="6"/>
      <c r="F3" s="5"/>
    </row>
    <row r="4" spans="1:6" s="4" customFormat="1" x14ac:dyDescent="0.15">
      <c r="A4" s="6"/>
      <c r="B4" s="6"/>
      <c r="C4" s="6"/>
      <c r="D4" s="6"/>
      <c r="E4" s="6"/>
      <c r="F4" s="5"/>
    </row>
    <row r="5" spans="1:6" s="4" customFormat="1" x14ac:dyDescent="0.15">
      <c r="A5" s="6"/>
      <c r="B5" s="6"/>
      <c r="C5" s="6"/>
      <c r="D5" s="6"/>
      <c r="E5" s="6"/>
      <c r="F5" s="5"/>
    </row>
    <row r="6" spans="1:6" s="4" customFormat="1" x14ac:dyDescent="0.15">
      <c r="A6" s="6"/>
      <c r="B6" s="6"/>
      <c r="C6" s="6"/>
      <c r="D6" s="6"/>
      <c r="E6" s="6"/>
      <c r="F6" s="5"/>
    </row>
    <row r="7" spans="1:6" s="4" customFormat="1" x14ac:dyDescent="0.15">
      <c r="A7" s="6"/>
      <c r="B7" s="6"/>
      <c r="C7" s="6"/>
      <c r="D7" s="6"/>
      <c r="E7" s="6"/>
      <c r="F7" s="5"/>
    </row>
    <row r="8" spans="1:6" s="4" customFormat="1" x14ac:dyDescent="0.15">
      <c r="A8" s="6"/>
      <c r="B8" s="6"/>
      <c r="C8" s="6"/>
      <c r="D8" s="6"/>
      <c r="E8" s="6"/>
      <c r="F8" s="5"/>
    </row>
    <row r="9" spans="1:6" s="4" customFormat="1" x14ac:dyDescent="0.15">
      <c r="A9" s="6"/>
      <c r="B9" s="6"/>
      <c r="C9" s="6"/>
      <c r="D9" s="6"/>
      <c r="E9" s="6"/>
      <c r="F9" s="5"/>
    </row>
  </sheetData>
  <phoneticPr fontId="1"/>
  <pageMargins left="0.7" right="0.7" top="0.75" bottom="0.75" header="0.3" footer="0.3"/>
  <pageSetup paperSize="9" orientation="portrait" horizontalDpi="0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7" r:id="rId4" name="Button 3">
              <controlPr defaultSize="0" print="0" autoFill="0" autoPict="0" macro="[0]!RemoveAllShapse">
                <anchor>
                  <from>
                    <xdr:col>3</xdr:col>
                    <xdr:colOff>180975</xdr:colOff>
                    <xdr:row>1</xdr:row>
                    <xdr:rowOff>66675</xdr:rowOff>
                  </from>
                  <to>
                    <xdr:col>3</xdr:col>
                    <xdr:colOff>1609725</xdr:colOff>
                    <xdr:row>4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5" name="Button 4">
              <controlPr defaultSize="0" print="0" autoFill="0" autoPict="0" macro="[0]!TestFeature">
                <anchor>
                  <from>
                    <xdr:col>0</xdr:col>
                    <xdr:colOff>295275</xdr:colOff>
                    <xdr:row>1</xdr:row>
                    <xdr:rowOff>85725</xdr:rowOff>
                  </from>
                  <to>
                    <xdr:col>0</xdr:col>
                    <xdr:colOff>1733550</xdr:colOff>
                    <xdr:row>4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6" name="Button 5">
              <controlPr defaultSize="0" print="0" autoFill="0" autoPict="0" macro="[0]!OrderNodeVertical">
                <anchor>
                  <from>
                    <xdr:col>1</xdr:col>
                    <xdr:colOff>171450</xdr:colOff>
                    <xdr:row>1</xdr:row>
                    <xdr:rowOff>66675</xdr:rowOff>
                  </from>
                  <to>
                    <xdr:col>1</xdr:col>
                    <xdr:colOff>1600200</xdr:colOff>
                    <xdr:row>4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7" name="Button 6">
              <controlPr defaultSize="0" print="0" autoFill="0" autoPict="0" macro="[0]!FindDisconnection">
                <anchor>
                  <from>
                    <xdr:col>2</xdr:col>
                    <xdr:colOff>1895475</xdr:colOff>
                    <xdr:row>1</xdr:row>
                    <xdr:rowOff>66675</xdr:rowOff>
                  </from>
                  <to>
                    <xdr:col>2</xdr:col>
                    <xdr:colOff>3333750</xdr:colOff>
                    <xdr:row>4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8" name="Button 7">
              <controlPr defaultSize="0" print="0" autoFill="0" autoPict="0" macro="[0]!ConnectStreight">
                <anchor>
                  <from>
                    <xdr:col>2</xdr:col>
                    <xdr:colOff>209550</xdr:colOff>
                    <xdr:row>1</xdr:row>
                    <xdr:rowOff>66675</xdr:rowOff>
                  </from>
                  <to>
                    <xdr:col>2</xdr:col>
                    <xdr:colOff>1647825</xdr:colOff>
                    <xdr:row>4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9" name="Button 8">
              <controlPr defaultSize="0" print="0" autoFill="0" autoPict="0" macro="[0]!ConnectSplit">
                <anchor>
                  <from>
                    <xdr:col>2</xdr:col>
                    <xdr:colOff>209550</xdr:colOff>
                    <xdr:row>5</xdr:row>
                    <xdr:rowOff>47625</xdr:rowOff>
                  </from>
                  <to>
                    <xdr:col>2</xdr:col>
                    <xdr:colOff>1647825</xdr:colOff>
                    <xdr:row>8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10" name="Button 9">
              <controlPr defaultSize="0" print="0" autoFill="0" autoPict="0" macro="[0]!ConnectMarge">
                <anchor>
                  <from>
                    <xdr:col>2</xdr:col>
                    <xdr:colOff>1895475</xdr:colOff>
                    <xdr:row>5</xdr:row>
                    <xdr:rowOff>47625</xdr:rowOff>
                  </from>
                  <to>
                    <xdr:col>2</xdr:col>
                    <xdr:colOff>3333750</xdr:colOff>
                    <xdr:row>8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" r:id="rId11" name="Button 10">
              <controlPr defaultSize="0" print="0" autoFill="0" autoPict="0" macro="[0]!SwapNodeLocation">
                <anchor>
                  <from>
                    <xdr:col>1</xdr:col>
                    <xdr:colOff>171450</xdr:colOff>
                    <xdr:row>5</xdr:row>
                    <xdr:rowOff>47625</xdr:rowOff>
                  </from>
                  <to>
                    <xdr:col>1</xdr:col>
                    <xdr:colOff>1600200</xdr:colOff>
                    <xdr:row>8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5" r:id="rId12" name="Button 11">
              <controlPr defaultSize="0" print="0" autoFill="0" autoPict="0" macro="[0]!RemoveConnections">
                <anchor>
                  <from>
                    <xdr:col>3</xdr:col>
                    <xdr:colOff>180975</xdr:colOff>
                    <xdr:row>5</xdr:row>
                    <xdr:rowOff>47625</xdr:rowOff>
                  </from>
                  <to>
                    <xdr:col>3</xdr:col>
                    <xdr:colOff>1609725</xdr:colOff>
                    <xdr:row>8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6" r:id="rId13" name="Button 12">
              <controlPr defaultSize="0" print="0" autoFill="0" autoPict="0" macro="[0]!NumberingNodes">
                <anchor>
                  <from>
                    <xdr:col>4</xdr:col>
                    <xdr:colOff>161925</xdr:colOff>
                    <xdr:row>1</xdr:row>
                    <xdr:rowOff>47625</xdr:rowOff>
                  </from>
                  <to>
                    <xdr:col>4</xdr:col>
                    <xdr:colOff>1600200</xdr:colOff>
                    <xdr:row>4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7" r:id="rId14" name="Button 13">
              <controlPr defaultSize="0" print="0" autoFill="0" autoPict="0" macro="[0]!DeNumberingAllNodes">
                <anchor>
                  <from>
                    <xdr:col>4</xdr:col>
                    <xdr:colOff>161925</xdr:colOff>
                    <xdr:row>5</xdr:row>
                    <xdr:rowOff>19050</xdr:rowOff>
                  </from>
                  <to>
                    <xdr:col>4</xdr:col>
                    <xdr:colOff>1600200</xdr:colOff>
                    <xdr:row>8</xdr:row>
                    <xdr:rowOff>57150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DataSheet"/>
  <dimension ref="A1:D18"/>
  <sheetViews>
    <sheetView workbookViewId="0"/>
  </sheetViews>
  <sheetFormatPr defaultRowHeight="13.5" x14ac:dyDescent="0.15"/>
  <cols>
    <col min="1" max="1" width="1.25" customWidth="1"/>
    <col min="2" max="2" width="3.5" bestFit="1" customWidth="1"/>
    <col min="3" max="3" width="23.5" customWidth="1"/>
    <col min="4" max="4" width="13.125" bestFit="1" customWidth="1"/>
  </cols>
  <sheetData>
    <row r="1" spans="1:4" s="2" customFormat="1" ht="42" x14ac:dyDescent="0.15">
      <c r="A1" s="1" t="s">
        <v>2</v>
      </c>
    </row>
    <row r="3" spans="1:4" x14ac:dyDescent="0.15">
      <c r="B3" s="3" t="s">
        <v>0</v>
      </c>
      <c r="C3" s="3" t="s">
        <v>1</v>
      </c>
      <c r="D3" s="3" t="s">
        <v>3</v>
      </c>
    </row>
    <row r="4" spans="1:4" x14ac:dyDescent="0.15">
      <c r="B4">
        <v>0</v>
      </c>
      <c r="C4" t="s">
        <v>12</v>
      </c>
    </row>
    <row r="5" spans="1:4" x14ac:dyDescent="0.15">
      <c r="B5">
        <v>1</v>
      </c>
      <c r="C5" t="s">
        <v>4</v>
      </c>
    </row>
    <row r="6" spans="1:4" x14ac:dyDescent="0.15">
      <c r="B6">
        <v>2</v>
      </c>
      <c r="C6" t="s">
        <v>5</v>
      </c>
    </row>
    <row r="7" spans="1:4" x14ac:dyDescent="0.15">
      <c r="B7">
        <v>3</v>
      </c>
      <c r="C7" t="s">
        <v>6</v>
      </c>
    </row>
    <row r="8" spans="1:4" x14ac:dyDescent="0.15">
      <c r="B8">
        <v>4</v>
      </c>
      <c r="C8" t="s">
        <v>7</v>
      </c>
    </row>
    <row r="9" spans="1:4" x14ac:dyDescent="0.15">
      <c r="B9">
        <v>5</v>
      </c>
      <c r="C9" t="s">
        <v>8</v>
      </c>
    </row>
    <row r="10" spans="1:4" x14ac:dyDescent="0.15">
      <c r="B10">
        <v>6</v>
      </c>
      <c r="C10" t="s">
        <v>9</v>
      </c>
    </row>
    <row r="11" spans="1:4" x14ac:dyDescent="0.15">
      <c r="B11">
        <v>7</v>
      </c>
      <c r="C11" t="s">
        <v>10</v>
      </c>
    </row>
    <row r="12" spans="1:4" x14ac:dyDescent="0.15">
      <c r="B12">
        <v>8</v>
      </c>
      <c r="C12" t="s">
        <v>11</v>
      </c>
    </row>
    <row r="13" spans="1:4" x14ac:dyDescent="0.15">
      <c r="B13">
        <v>9</v>
      </c>
      <c r="C13" t="s">
        <v>13</v>
      </c>
    </row>
    <row r="14" spans="1:4" x14ac:dyDescent="0.15">
      <c r="B14">
        <v>10</v>
      </c>
      <c r="C14" t="s">
        <v>21</v>
      </c>
    </row>
    <row r="15" spans="1:4" x14ac:dyDescent="0.15">
      <c r="B15">
        <v>11</v>
      </c>
      <c r="C15" t="s">
        <v>22</v>
      </c>
    </row>
    <row r="16" spans="1:4" x14ac:dyDescent="0.15">
      <c r="B16">
        <v>12</v>
      </c>
      <c r="C16" t="s">
        <v>23</v>
      </c>
    </row>
    <row r="17" spans="2:3" x14ac:dyDescent="0.15">
      <c r="B17">
        <v>13</v>
      </c>
      <c r="C17" t="s">
        <v>19</v>
      </c>
    </row>
    <row r="18" spans="2:3" x14ac:dyDescent="0.15">
      <c r="B18">
        <v>14</v>
      </c>
      <c r="C18" t="s">
        <v>20</v>
      </c>
    </row>
  </sheetData>
  <phoneticPr fontId="1"/>
  <pageMargins left="0.7" right="0.7" top="0.75" bottom="0.75" header="0.3" footer="0.3"/>
  <pageSetup paperSize="9" orientation="portrait" horizontalDpi="0" verticalDpi="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cheduleSheet"/>
  <dimension ref="A3:F18"/>
  <sheetViews>
    <sheetView workbookViewId="0"/>
  </sheetViews>
  <sheetFormatPr defaultRowHeight="13.5" x14ac:dyDescent="0.15"/>
  <cols>
    <col min="1" max="1" width="3.75" bestFit="1" customWidth="1"/>
    <col min="2" max="2" width="16" customWidth="1"/>
    <col min="3" max="3" width="11.875" bestFit="1" customWidth="1"/>
    <col min="4" max="4" width="9.625" bestFit="1" customWidth="1"/>
    <col min="5" max="5" width="12.5" bestFit="1" customWidth="1"/>
    <col min="6" max="6" width="11.375" bestFit="1" customWidth="1"/>
  </cols>
  <sheetData>
    <row r="3" spans="1:6" x14ac:dyDescent="0.15">
      <c r="A3" t="s">
        <v>24</v>
      </c>
      <c r="B3" t="s">
        <v>25</v>
      </c>
      <c r="C3" t="s">
        <v>29</v>
      </c>
      <c r="D3" t="s">
        <v>26</v>
      </c>
      <c r="E3" t="s">
        <v>27</v>
      </c>
      <c r="F3" t="s">
        <v>28</v>
      </c>
    </row>
    <row r="4" spans="1:6" x14ac:dyDescent="0.15">
      <c r="B4" t="s">
        <v>34</v>
      </c>
      <c r="D4">
        <v>1</v>
      </c>
      <c r="E4" s="8">
        <v>44340</v>
      </c>
      <c r="F4" s="8">
        <f>E4+D4</f>
        <v>44341</v>
      </c>
    </row>
    <row r="5" spans="1:6" x14ac:dyDescent="0.15">
      <c r="B5" t="s">
        <v>41</v>
      </c>
      <c r="C5">
        <v>0</v>
      </c>
      <c r="D5">
        <v>1</v>
      </c>
      <c r="E5" s="8">
        <f>MAX(F4) + 1</f>
        <v>44342</v>
      </c>
      <c r="F5" s="8">
        <f>E5+D5</f>
        <v>44343</v>
      </c>
    </row>
    <row r="6" spans="1:6" x14ac:dyDescent="0.15">
      <c r="B6" t="s">
        <v>37</v>
      </c>
      <c r="C6">
        <v>1</v>
      </c>
      <c r="D6">
        <v>1</v>
      </c>
      <c r="E6" s="8">
        <f>MAX(F5) + 1</f>
        <v>44344</v>
      </c>
      <c r="F6" s="8">
        <f>E6+D6</f>
        <v>44345</v>
      </c>
    </row>
    <row r="7" spans="1:6" x14ac:dyDescent="0.15">
      <c r="B7" t="s">
        <v>43</v>
      </c>
      <c r="C7" t="s">
        <v>46</v>
      </c>
      <c r="D7">
        <v>1</v>
      </c>
      <c r="E7" s="8">
        <f>MAX(F6,F8) + 1</f>
        <v>44346</v>
      </c>
      <c r="F7" s="8">
        <f>E7+D7</f>
        <v>44347</v>
      </c>
    </row>
    <row r="8" spans="1:6" x14ac:dyDescent="0.15">
      <c r="B8" t="s">
        <v>38</v>
      </c>
      <c r="C8">
        <v>1</v>
      </c>
      <c r="D8">
        <v>1</v>
      </c>
      <c r="E8" s="8">
        <f>MAX(F5) + 1</f>
        <v>44344</v>
      </c>
      <c r="F8" s="8">
        <f>E8+D8</f>
        <v>44345</v>
      </c>
    </row>
    <row r="9" spans="1:6" x14ac:dyDescent="0.15">
      <c r="B9" t="s">
        <v>39</v>
      </c>
      <c r="C9">
        <v>0</v>
      </c>
      <c r="D9">
        <v>1</v>
      </c>
      <c r="E9" s="8">
        <f>MAX(F4) + 1</f>
        <v>44342</v>
      </c>
      <c r="F9" s="8">
        <f>E9+D9</f>
        <v>44343</v>
      </c>
    </row>
    <row r="10" spans="1:6" x14ac:dyDescent="0.15">
      <c r="B10" t="s">
        <v>30</v>
      </c>
      <c r="C10">
        <v>0</v>
      </c>
      <c r="D10">
        <v>1</v>
      </c>
      <c r="E10" s="8">
        <f>MAX(F4) + 1</f>
        <v>44342</v>
      </c>
      <c r="F10" s="8">
        <f>E10+D10</f>
        <v>44343</v>
      </c>
    </row>
    <row r="11" spans="1:6" x14ac:dyDescent="0.15">
      <c r="B11" t="s">
        <v>31</v>
      </c>
      <c r="C11">
        <v>6</v>
      </c>
      <c r="D11">
        <v>1</v>
      </c>
      <c r="E11" s="8">
        <f>MAX(F10) + 1</f>
        <v>44344</v>
      </c>
      <c r="F11" s="8">
        <f>E11+D11</f>
        <v>44345</v>
      </c>
    </row>
    <row r="12" spans="1:6" x14ac:dyDescent="0.15">
      <c r="B12" t="s">
        <v>42</v>
      </c>
      <c r="C12">
        <v>0</v>
      </c>
      <c r="D12">
        <v>1</v>
      </c>
      <c r="E12" s="8">
        <f>MAX(F4) + 1</f>
        <v>44342</v>
      </c>
      <c r="F12" s="8">
        <f>E12+D12</f>
        <v>44343</v>
      </c>
    </row>
    <row r="13" spans="1:6" x14ac:dyDescent="0.15">
      <c r="B13" t="s">
        <v>35</v>
      </c>
      <c r="C13">
        <v>0</v>
      </c>
      <c r="D13">
        <v>1</v>
      </c>
      <c r="E13" s="8">
        <f>MAX(F4) + 1</f>
        <v>44342</v>
      </c>
      <c r="F13" s="8">
        <f>E13+D13</f>
        <v>44343</v>
      </c>
    </row>
    <row r="14" spans="1:6" x14ac:dyDescent="0.15">
      <c r="B14" t="s">
        <v>40</v>
      </c>
      <c r="C14">
        <v>0</v>
      </c>
      <c r="D14">
        <v>1</v>
      </c>
      <c r="E14" s="8">
        <f>MAX(F4) + 1</f>
        <v>44342</v>
      </c>
      <c r="F14" s="8">
        <f>E14+D14</f>
        <v>44343</v>
      </c>
    </row>
    <row r="15" spans="1:6" x14ac:dyDescent="0.15">
      <c r="B15" t="s">
        <v>32</v>
      </c>
      <c r="C15">
        <v>10</v>
      </c>
      <c r="D15">
        <v>1</v>
      </c>
      <c r="E15" s="8">
        <f>MAX(F14) + 1</f>
        <v>44344</v>
      </c>
      <c r="F15" s="8">
        <f>E15+D15</f>
        <v>44345</v>
      </c>
    </row>
    <row r="16" spans="1:6" x14ac:dyDescent="0.15">
      <c r="B16" t="s">
        <v>36</v>
      </c>
      <c r="C16">
        <v>11</v>
      </c>
      <c r="D16">
        <v>1</v>
      </c>
      <c r="E16" s="8">
        <f>MAX(F15) + 1</f>
        <v>44346</v>
      </c>
      <c r="F16" s="8">
        <f>E16+D16</f>
        <v>44347</v>
      </c>
    </row>
    <row r="17" spans="2:6" x14ac:dyDescent="0.15">
      <c r="B17" t="s">
        <v>44</v>
      </c>
      <c r="C17">
        <v>12</v>
      </c>
      <c r="D17">
        <v>1</v>
      </c>
      <c r="E17" s="8">
        <f>MAX(F16) + 1</f>
        <v>44348</v>
      </c>
      <c r="F17" s="8">
        <f>E17+D17</f>
        <v>44349</v>
      </c>
    </row>
    <row r="18" spans="2:6" x14ac:dyDescent="0.15">
      <c r="B18" t="s">
        <v>33</v>
      </c>
      <c r="C18" t="s">
        <v>45</v>
      </c>
      <c r="D18">
        <v>1</v>
      </c>
      <c r="E18" s="8">
        <f>MAX(F7,F8,F9,F11,F12,F13,F17) + 1</f>
        <v>44350</v>
      </c>
      <c r="F18" s="8">
        <f>E18+D18</f>
        <v>44351</v>
      </c>
    </row>
  </sheetData>
  <phoneticPr fontId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3</vt:i4>
      </vt:variant>
    </vt:vector>
  </HeadingPairs>
  <TitlesOfParts>
    <vt:vector size="3" baseType="lpstr">
      <vt:lpstr>Draw</vt:lpstr>
      <vt:lpstr>Data</vt:lpstr>
      <vt:lpstr>Schedule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Takayuki Hommura</dc:creator>
  <cp:lastModifiedBy>Takayuki Hommura</cp:lastModifiedBy>
  <dcterms:created xsi:type="dcterms:W3CDTF">2021-05-22T03:26:50Z</dcterms:created>
  <dcterms:modified xsi:type="dcterms:W3CDTF">2021-05-24T12:19:28Z</dcterms:modified>
</cp:coreProperties>
</file>