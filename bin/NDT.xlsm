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  <sheet name="Issue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7" i="3" s="1"/>
  <c r="F7" i="3" s="1"/>
  <c r="E6" i="3" l="1"/>
  <c r="F6" i="3" s="1"/>
  <c r="E5" i="3"/>
  <c r="F5" i="3" s="1"/>
  <c r="E8" i="3" l="1"/>
  <c r="F8" i="3" s="1"/>
  <c r="E9" i="3" s="1"/>
  <c r="F9" i="3" s="1"/>
  <c r="E10" i="3" s="1"/>
  <c r="F10" i="3" s="1"/>
  <c r="E11" i="3" s="1"/>
  <c r="F11" i="3" s="1"/>
  <c r="E12" i="3" s="1"/>
  <c r="F12" i="3" s="1"/>
  <c r="E13" i="3" s="1"/>
  <c r="F13" i="3" s="1"/>
  <c r="E14" i="3" s="1"/>
  <c r="F14" i="3" s="1"/>
  <c r="E15" i="3" s="1"/>
  <c r="F15" i="3" s="1"/>
  <c r="E16" i="3" s="1"/>
  <c r="F16" i="3" s="1"/>
  <c r="E17" i="3" s="1"/>
  <c r="F17" i="3" s="1"/>
</calcChain>
</file>

<file path=xl/sharedStrings.xml><?xml version="1.0" encoding="utf-8"?>
<sst xmlns="http://schemas.openxmlformats.org/spreadsheetml/2006/main" count="71" uniqueCount="71">
  <si>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</si>
  <si>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</si>
  <si>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</si>
  <si>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</si>
  <si>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</si>
  <si>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</si>
  <si>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</si>
  <si>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</si>
  <si>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</si>
  <si>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</si>
  <si>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</si>
  <si>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</si>
  <si>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</si>
  <si>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</si>
  <si>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</si>
  <si>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</si>
  <si>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</si>
  <si>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</si>
  <si>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</si>
  <si>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</si>
  <si>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</si>
  <si>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</si>
  <si>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</si>
  <si>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</si>
  <si>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</si>
  <si>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</si>
  <si>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</si>
  <si>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</si>
  <si>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</si>
  <si>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</si>
  <si>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</si>
  <si>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</si>
  <si>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</si>
  <si>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</si>
  <si>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</si>
  <si>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</si>
  <si>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</si>
  <si>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Number</t>
    <phoneticPr fontId="1"/>
  </si>
  <si>
    <t>Shape Names in Draw sheet</t>
    <phoneticPr fontId="1"/>
  </si>
  <si>
    <t>START</t>
    <phoneticPr fontId="1"/>
  </si>
  <si>
    <t>END</t>
    <phoneticPr fontId="1"/>
  </si>
  <si>
    <t>Oval 1208</t>
  </si>
  <si>
    <t>Oval 1209</t>
    <phoneticPr fontId="1"/>
  </si>
  <si>
    <t>Oval 1210</t>
    <phoneticPr fontId="1"/>
  </si>
  <si>
    <t>Oval 1211</t>
    <phoneticPr fontId="1"/>
  </si>
  <si>
    <t>Oval 1213</t>
    <phoneticPr fontId="1"/>
  </si>
  <si>
    <t>Oval 1214</t>
    <phoneticPr fontId="1"/>
  </si>
  <si>
    <t>Oval 1215</t>
    <phoneticPr fontId="1"/>
  </si>
  <si>
    <t>Oval 1217</t>
    <phoneticPr fontId="1"/>
  </si>
  <si>
    <t>Oval 1218</t>
    <phoneticPr fontId="1"/>
  </si>
  <si>
    <t>Oval 1219</t>
    <phoneticPr fontId="1"/>
  </si>
  <si>
    <t>Oval 1221</t>
    <phoneticPr fontId="1"/>
  </si>
  <si>
    <t>Oval 1222</t>
  </si>
  <si>
    <t>床のモノを片付ける_訂正</t>
  </si>
  <si>
    <t>床のモノを片付ける_訂正</t>
    <rPh sb="0" eb="1">
      <t>ユカ</t>
    </rPh>
    <rPh sb="5" eb="7">
      <t>カタヅ</t>
    </rPh>
    <rPh sb="10" eb="12">
      <t>テイセイ</t>
    </rPh>
    <phoneticPr fontId="1"/>
  </si>
  <si>
    <t>1,2,3</t>
  </si>
  <si>
    <t>Oval 1255</t>
    <phoneticPr fontId="1"/>
  </si>
  <si>
    <t>洗濯物A_222</t>
    <rPh sb="0" eb="2">
      <t>センタク</t>
    </rPh>
    <rPh sb="2" eb="3">
      <t>モノ</t>
    </rPh>
    <phoneticPr fontId="1"/>
  </si>
  <si>
    <t>No</t>
    <phoneticPr fontId="1"/>
  </si>
  <si>
    <t>内容</t>
    <rPh sb="0" eb="2">
      <t>ナイヨウ</t>
    </rPh>
    <phoneticPr fontId="1"/>
  </si>
  <si>
    <t>PlotTaskをしたときに、先頭に付加されたNumberが外れる問題</t>
    <rPh sb="15" eb="17">
      <t>セントウ</t>
    </rPh>
    <rPh sb="18" eb="20">
      <t>フカ</t>
    </rPh>
    <rPh sb="30" eb="31">
      <t>ハズ</t>
    </rPh>
    <rPh sb="33" eb="35">
      <t>モンダイ</t>
    </rPh>
    <phoneticPr fontId="1"/>
  </si>
  <si>
    <t>解決案</t>
    <rPh sb="0" eb="2">
      <t>カイケツ</t>
    </rPh>
    <rPh sb="2" eb="3">
      <t>アン</t>
    </rPh>
    <phoneticPr fontId="1"/>
  </si>
  <si>
    <t>A) ShapeからNumberを読み取って保持する処理
メリット：シンプル
B) TaskList上でNumberを保持する処理
メリット：ナンバーの書き換えがタスクリストでできる。それによってタスクリスト上の並び替えもできる。</t>
    <rPh sb="17" eb="18">
      <t>ヨ</t>
    </rPh>
    <rPh sb="19" eb="20">
      <t>ト</t>
    </rPh>
    <rPh sb="22" eb="24">
      <t>ホジ</t>
    </rPh>
    <rPh sb="26" eb="28">
      <t>ショリ</t>
    </rPh>
    <rPh sb="50" eb="51">
      <t>ジョウ</t>
    </rPh>
    <rPh sb="59" eb="61">
      <t>ホジ</t>
    </rPh>
    <rPh sb="63" eb="65">
      <t>ショリ</t>
    </rPh>
    <rPh sb="76" eb="77">
      <t>カ</t>
    </rPh>
    <rPh sb="78" eb="79">
      <t>カ</t>
    </rPh>
    <rPh sb="104" eb="105">
      <t>ジョウ</t>
    </rPh>
    <rPh sb="106" eb="107">
      <t>ナラ</t>
    </rPh>
    <rPh sb="108" eb="109">
      <t>カ</t>
    </rPh>
    <phoneticPr fontId="1"/>
  </si>
  <si>
    <t>PlotTaskをしたときに、タスクリスト管理外のOvalを削除しない問題</t>
    <rPh sb="21" eb="24">
      <t>カンリガイ</t>
    </rPh>
    <rPh sb="30" eb="32">
      <t>サクジョ</t>
    </rPh>
    <rPh sb="35" eb="37">
      <t>モンダイ</t>
    </rPh>
    <phoneticPr fontId="1"/>
  </si>
  <si>
    <t>ステータス</t>
    <phoneticPr fontId="1"/>
  </si>
  <si>
    <t>タスクリストから検索させてRemoveする</t>
    <rPh sb="8" eb="10">
      <t>ケンサク</t>
    </rPh>
    <phoneticPr fontId="1"/>
  </si>
  <si>
    <t>Oval 10</t>
  </si>
  <si>
    <t>Oval 11</t>
  </si>
  <si>
    <t>Oval 18</t>
  </si>
  <si>
    <t>タスク名未定</t>
    <rPh sb="3" eb="4">
      <t>メイ</t>
    </rPh>
    <rPh sb="4" eb="6">
      <t>ミテイ</t>
    </rPh>
    <phoneticPr fontId="1"/>
  </si>
  <si>
    <t>Done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</si>
</sst>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1258793</xdr:colOff>
      <xdr:row>20</xdr:row>
      <xdr:rowOff>74146</xdr:rowOff>
    </xdr:from>
    <xdr:to>
      <xdr:col>1</xdr:col>
      <xdr:colOff>87218</xdr:colOff>
      <xdr:row>24</xdr:row>
      <xdr:rowOff>146984</xdr:rowOff>
    </xdr:to>
    <xdr:sp macro="" textlink="">
      <xdr:nvSpPr>
        <xdr:cNvPr id="1209" name="円/楕円 1208"/>
        <xdr:cNvSpPr/>
      </xdr:nvSpPr>
      <xdr:spPr>
        <a:xfrm>
          <a:off x="1258793" y="3581587"/>
          <a:ext cx="767043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START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1446864</xdr:colOff>
      <xdr:row>11</xdr:row>
      <xdr:rowOff>130175</xdr:rowOff>
    </xdr:from>
    <xdr:to>
      <xdr:col>2</xdr:col>
      <xdr:colOff>393511</xdr:colOff>
      <xdr:row>16</xdr:row>
      <xdr:rowOff>34925</xdr:rowOff>
    </xdr:to>
    <xdr:sp macro="" textlink="">
      <xdr:nvSpPr>
        <xdr:cNvPr id="1210" name="円/楕円 1209"/>
        <xdr:cNvSpPr/>
      </xdr:nvSpPr>
      <xdr:spPr>
        <a:xfrm>
          <a:off x="3385482" y="2124822"/>
          <a:ext cx="762000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床のモノを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片付ける</a:t>
          </a:r>
          <a:r>
            <a:rPr kumimoji="1" lang="en-US" altLang="ja-JP" sz="1100">
              <a:solidFill>
                <a:srgbClr val="000000"/>
              </a:solidFill>
            </a:rPr>
            <a:t>_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訂正</a:t>
          </a:r>
        </a:p>
      </xdr:txBody>
    </xdr:sp>
    <xdr:clientData/>
  </xdr:twoCellAnchor>
  <xdr:twoCellAnchor>
    <xdr:from>
      <xdr:col>1</xdr:col>
      <xdr:colOff>864158</xdr:colOff>
      <xdr:row>17</xdr:row>
      <xdr:rowOff>117475</xdr:rowOff>
    </xdr:from>
    <xdr:to>
      <xdr:col>1</xdr:col>
      <xdr:colOff>1626158</xdr:colOff>
      <xdr:row>22</xdr:row>
      <xdr:rowOff>22225</xdr:rowOff>
    </xdr:to>
    <xdr:sp macro="" textlink="">
      <xdr:nvSpPr>
        <xdr:cNvPr id="1211" name="円/楕円 1210"/>
        <xdr:cNvSpPr/>
      </xdr:nvSpPr>
      <xdr:spPr>
        <a:xfrm>
          <a:off x="2802776" y="3120651"/>
          <a:ext cx="762000" cy="745192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床掃除ロボ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ット実行</a:t>
          </a:r>
        </a:p>
      </xdr:txBody>
    </xdr:sp>
    <xdr:clientData/>
  </xdr:twoCellAnchor>
  <xdr:twoCellAnchor>
    <xdr:from>
      <xdr:col>1</xdr:col>
      <xdr:colOff>864158</xdr:colOff>
      <xdr:row>23</xdr:row>
      <xdr:rowOff>104775</xdr:rowOff>
    </xdr:from>
    <xdr:to>
      <xdr:col>1</xdr:col>
      <xdr:colOff>1626158</xdr:colOff>
      <xdr:row>28</xdr:row>
      <xdr:rowOff>6163</xdr:rowOff>
    </xdr:to>
    <xdr:sp macro="" textlink="">
      <xdr:nvSpPr>
        <xdr:cNvPr id="1212" name="円/楕円 1211"/>
        <xdr:cNvSpPr/>
      </xdr:nvSpPr>
      <xdr:spPr>
        <a:xfrm>
          <a:off x="2802776" y="4116481"/>
          <a:ext cx="762000" cy="74182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衣類の在庫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確認</a:t>
          </a:r>
        </a:p>
      </xdr:txBody>
    </xdr:sp>
    <xdr:clientData/>
  </xdr:twoCellAnchor>
  <xdr:twoCellAnchor>
    <xdr:from>
      <xdr:col>2</xdr:col>
      <xdr:colOff>2578473</xdr:colOff>
      <xdr:row>11</xdr:row>
      <xdr:rowOff>130175</xdr:rowOff>
    </xdr:from>
    <xdr:to>
      <xdr:col>2</xdr:col>
      <xdr:colOff>3340473</xdr:colOff>
      <xdr:row>16</xdr:row>
      <xdr:rowOff>34925</xdr:rowOff>
    </xdr:to>
    <xdr:sp macro="" textlink="">
      <xdr:nvSpPr>
        <xdr:cNvPr id="1214" name="円/楕円 1213"/>
        <xdr:cNvSpPr/>
      </xdr:nvSpPr>
      <xdr:spPr>
        <a:xfrm>
          <a:off x="6332444" y="2124822"/>
          <a:ext cx="762000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en-US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3467473</xdr:colOff>
      <xdr:row>11</xdr:row>
      <xdr:rowOff>130175</xdr:rowOff>
    </xdr:from>
    <xdr:to>
      <xdr:col>3</xdr:col>
      <xdr:colOff>724273</xdr:colOff>
      <xdr:row>16</xdr:row>
      <xdr:rowOff>34925</xdr:rowOff>
    </xdr:to>
    <xdr:sp macro="" textlink="">
      <xdr:nvSpPr>
        <xdr:cNvPr id="1215" name="円/楕円 1214"/>
        <xdr:cNvSpPr/>
      </xdr:nvSpPr>
      <xdr:spPr>
        <a:xfrm>
          <a:off x="7221444" y="2124822"/>
          <a:ext cx="764241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en-US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干す</a:t>
          </a:r>
        </a:p>
      </xdr:txBody>
    </xdr:sp>
    <xdr:clientData/>
  </xdr:twoCellAnchor>
  <xdr:twoCellAnchor>
    <xdr:from>
      <xdr:col>3</xdr:col>
      <xdr:colOff>851273</xdr:colOff>
      <xdr:row>11</xdr:row>
      <xdr:rowOff>130175</xdr:rowOff>
    </xdr:from>
    <xdr:to>
      <xdr:col>3</xdr:col>
      <xdr:colOff>1613273</xdr:colOff>
      <xdr:row>16</xdr:row>
      <xdr:rowOff>34925</xdr:rowOff>
    </xdr:to>
    <xdr:sp macro="" textlink="">
      <xdr:nvSpPr>
        <xdr:cNvPr id="1216" name="円/楕円 1215"/>
        <xdr:cNvSpPr/>
      </xdr:nvSpPr>
      <xdr:spPr>
        <a:xfrm>
          <a:off x="8112685" y="2124822"/>
          <a:ext cx="762000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机の掃除</a:t>
          </a:r>
        </a:p>
      </xdr:txBody>
    </xdr:sp>
    <xdr:clientData/>
  </xdr:twoCellAnchor>
  <xdr:twoCellAnchor>
    <xdr:from>
      <xdr:col>4</xdr:col>
      <xdr:colOff>723153</xdr:colOff>
      <xdr:row>11</xdr:row>
      <xdr:rowOff>130175</xdr:rowOff>
    </xdr:from>
    <xdr:to>
      <xdr:col>4</xdr:col>
      <xdr:colOff>1485153</xdr:colOff>
      <xdr:row>16</xdr:row>
      <xdr:rowOff>34925</xdr:rowOff>
    </xdr:to>
    <xdr:sp macro="" textlink="">
      <xdr:nvSpPr>
        <xdr:cNvPr id="1218" name="円/楕円 1217"/>
        <xdr:cNvSpPr/>
      </xdr:nvSpPr>
      <xdr:spPr>
        <a:xfrm>
          <a:off x="9755094" y="2124822"/>
          <a:ext cx="762000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消耗品チェ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ック</a:t>
          </a:r>
        </a:p>
      </xdr:txBody>
    </xdr:sp>
    <xdr:clientData/>
  </xdr:twoCellAnchor>
  <xdr:twoCellAnchor>
    <xdr:from>
      <xdr:col>4</xdr:col>
      <xdr:colOff>1612153</xdr:colOff>
      <xdr:row>11</xdr:row>
      <xdr:rowOff>130175</xdr:rowOff>
    </xdr:from>
    <xdr:to>
      <xdr:col>5</xdr:col>
      <xdr:colOff>650128</xdr:colOff>
      <xdr:row>16</xdr:row>
      <xdr:rowOff>34925</xdr:rowOff>
    </xdr:to>
    <xdr:sp macro="" textlink="">
      <xdr:nvSpPr>
        <xdr:cNvPr id="1219" name="円/楕円 1218"/>
        <xdr:cNvSpPr/>
      </xdr:nvSpPr>
      <xdr:spPr>
        <a:xfrm>
          <a:off x="10644094" y="2124822"/>
          <a:ext cx="763681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消耗品発注</a:t>
          </a:r>
        </a:p>
      </xdr:txBody>
    </xdr:sp>
    <xdr:clientData/>
  </xdr:twoCellAnchor>
  <xdr:twoCellAnchor>
    <xdr:from>
      <xdr:col>6</xdr:col>
      <xdr:colOff>93569</xdr:colOff>
      <xdr:row>11</xdr:row>
      <xdr:rowOff>130175</xdr:rowOff>
    </xdr:from>
    <xdr:to>
      <xdr:col>7</xdr:col>
      <xdr:colOff>167528</xdr:colOff>
      <xdr:row>16</xdr:row>
      <xdr:rowOff>34925</xdr:rowOff>
    </xdr:to>
    <xdr:sp macro="" textlink="">
      <xdr:nvSpPr>
        <xdr:cNvPr id="1220" name="円/楕円 1219"/>
        <xdr:cNvSpPr/>
      </xdr:nvSpPr>
      <xdr:spPr>
        <a:xfrm>
          <a:off x="11534775" y="2124822"/>
          <a:ext cx="757518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8</xdr:col>
      <xdr:colOff>430492</xdr:colOff>
      <xdr:row>11</xdr:row>
      <xdr:rowOff>130175</xdr:rowOff>
    </xdr:from>
    <xdr:to>
      <xdr:col>9</xdr:col>
      <xdr:colOff>506692</xdr:colOff>
      <xdr:row>16</xdr:row>
      <xdr:rowOff>34925</xdr:rowOff>
    </xdr:to>
    <xdr:sp macro="" textlink="">
      <xdr:nvSpPr>
        <xdr:cNvPr id="1222" name="円/楕円 1221"/>
        <xdr:cNvSpPr/>
      </xdr:nvSpPr>
      <xdr:spPr>
        <a:xfrm>
          <a:off x="13238816" y="2124822"/>
          <a:ext cx="759758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トイレ掃除</a:t>
          </a:r>
        </a:p>
      </xdr:txBody>
    </xdr:sp>
    <xdr:clientData/>
  </xdr:twoCellAnchor>
  <xdr:twoCellAnchor>
    <xdr:from>
      <xdr:col>9</xdr:col>
      <xdr:colOff>600075</xdr:colOff>
      <xdr:row>11</xdr:row>
      <xdr:rowOff>130175</xdr:rowOff>
    </xdr:from>
    <xdr:to>
      <xdr:col>10</xdr:col>
      <xdr:colOff>676275</xdr:colOff>
      <xdr:row>16</xdr:row>
      <xdr:rowOff>34925</xdr:rowOff>
    </xdr:to>
    <xdr:sp macro="" textlink="">
      <xdr:nvSpPr>
        <xdr:cNvPr id="1223" name="円/楕円 1222"/>
        <xdr:cNvSpPr/>
      </xdr:nvSpPr>
      <xdr:spPr>
        <a:xfrm>
          <a:off x="14097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87218</xdr:colOff>
      <xdr:row>13</xdr:row>
      <xdr:rowOff>166594</xdr:rowOff>
    </xdr:from>
    <xdr:to>
      <xdr:col>1</xdr:col>
      <xdr:colOff>1446864</xdr:colOff>
      <xdr:row>22</xdr:row>
      <xdr:rowOff>110565</xdr:rowOff>
    </xdr:to>
    <xdr:cxnSp macro="">
      <xdr:nvCxnSpPr>
        <xdr:cNvPr id="1227" name="直線矢印コネクタ 1226"/>
        <xdr:cNvCxnSpPr>
          <a:stCxn id="1209" idx="6"/>
          <a:endCxn id="1210" idx="2"/>
        </xdr:cNvCxnSpPr>
      </xdr:nvCxnSpPr>
      <xdr:spPr>
        <a:xfrm flipV="1">
          <a:off x="2025836" y="2497418"/>
          <a:ext cx="1359646" cy="145676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87218</xdr:colOff>
      <xdr:row>19</xdr:row>
      <xdr:rowOff>153894</xdr:rowOff>
    </xdr:from>
    <xdr:to>
      <xdr:col>1</xdr:col>
      <xdr:colOff>864158</xdr:colOff>
      <xdr:row>22</xdr:row>
      <xdr:rowOff>110565</xdr:rowOff>
    </xdr:to>
    <xdr:cxnSp macro="">
      <xdr:nvCxnSpPr>
        <xdr:cNvPr id="1228" name="直線矢印コネクタ 1227"/>
        <xdr:cNvCxnSpPr>
          <a:stCxn id="1209" idx="6"/>
          <a:endCxn id="1211" idx="2"/>
        </xdr:cNvCxnSpPr>
      </xdr:nvCxnSpPr>
      <xdr:spPr>
        <a:xfrm flipV="1">
          <a:off x="2025836" y="3493247"/>
          <a:ext cx="776940" cy="46093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87218</xdr:colOff>
      <xdr:row>22</xdr:row>
      <xdr:rowOff>110565</xdr:rowOff>
    </xdr:from>
    <xdr:to>
      <xdr:col>1</xdr:col>
      <xdr:colOff>864158</xdr:colOff>
      <xdr:row>25</xdr:row>
      <xdr:rowOff>139514</xdr:rowOff>
    </xdr:to>
    <xdr:cxnSp macro="">
      <xdr:nvCxnSpPr>
        <xdr:cNvPr id="1229" name="直線矢印コネクタ 1228"/>
        <xdr:cNvCxnSpPr>
          <a:stCxn id="1209" idx="6"/>
          <a:endCxn id="1212" idx="2"/>
        </xdr:cNvCxnSpPr>
      </xdr:nvCxnSpPr>
      <xdr:spPr>
        <a:xfrm>
          <a:off x="2025836" y="3954183"/>
          <a:ext cx="776940" cy="533213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393511</xdr:colOff>
      <xdr:row>13</xdr:row>
      <xdr:rowOff>166594</xdr:rowOff>
    </xdr:from>
    <xdr:to>
      <xdr:col>2</xdr:col>
      <xdr:colOff>2578473</xdr:colOff>
      <xdr:row>13</xdr:row>
      <xdr:rowOff>166594</xdr:rowOff>
    </xdr:to>
    <xdr:cxnSp macro="">
      <xdr:nvCxnSpPr>
        <xdr:cNvPr id="1230" name="直線矢印コネクタ 1229"/>
        <xdr:cNvCxnSpPr>
          <a:stCxn id="1210" idx="6"/>
          <a:endCxn id="1214" idx="2"/>
        </xdr:cNvCxnSpPr>
      </xdr:nvCxnSpPr>
      <xdr:spPr>
        <a:xfrm>
          <a:off x="4147482" y="2497418"/>
          <a:ext cx="218496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1626158</xdr:colOff>
      <xdr:row>13</xdr:row>
      <xdr:rowOff>166594</xdr:rowOff>
    </xdr:from>
    <xdr:to>
      <xdr:col>2</xdr:col>
      <xdr:colOff>2578473</xdr:colOff>
      <xdr:row>19</xdr:row>
      <xdr:rowOff>153894</xdr:rowOff>
    </xdr:to>
    <xdr:cxnSp macro="">
      <xdr:nvCxnSpPr>
        <xdr:cNvPr id="1231" name="直線矢印コネクタ 1230"/>
        <xdr:cNvCxnSpPr>
          <a:stCxn id="1211" idx="6"/>
          <a:endCxn id="1214" idx="2"/>
        </xdr:cNvCxnSpPr>
      </xdr:nvCxnSpPr>
      <xdr:spPr>
        <a:xfrm flipV="1">
          <a:off x="3564776" y="2497418"/>
          <a:ext cx="2767668" cy="99582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3340473</xdr:colOff>
      <xdr:row>13</xdr:row>
      <xdr:rowOff>166594</xdr:rowOff>
    </xdr:from>
    <xdr:to>
      <xdr:col>2</xdr:col>
      <xdr:colOff>3467473</xdr:colOff>
      <xdr:row>13</xdr:row>
      <xdr:rowOff>166594</xdr:rowOff>
    </xdr:to>
    <xdr:cxnSp macro="">
      <xdr:nvCxnSpPr>
        <xdr:cNvPr id="1236" name="直線矢印コネクタ 1235"/>
        <xdr:cNvCxnSpPr>
          <a:stCxn id="1214" idx="6"/>
          <a:endCxn id="1215" idx="2"/>
        </xdr:cNvCxnSpPr>
      </xdr:nvCxnSpPr>
      <xdr:spPr>
        <a:xfrm>
          <a:off x="7094444" y="2497418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724273</xdr:colOff>
      <xdr:row>13</xdr:row>
      <xdr:rowOff>166594</xdr:rowOff>
    </xdr:from>
    <xdr:to>
      <xdr:col>3</xdr:col>
      <xdr:colOff>851273</xdr:colOff>
      <xdr:row>13</xdr:row>
      <xdr:rowOff>166594</xdr:rowOff>
    </xdr:to>
    <xdr:cxnSp macro="">
      <xdr:nvCxnSpPr>
        <xdr:cNvPr id="1237" name="直線矢印コネクタ 1236"/>
        <xdr:cNvCxnSpPr>
          <a:stCxn id="1215" idx="6"/>
          <a:endCxn id="1216" idx="2"/>
        </xdr:cNvCxnSpPr>
      </xdr:nvCxnSpPr>
      <xdr:spPr>
        <a:xfrm>
          <a:off x="7985685" y="2497418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1485153</xdr:colOff>
      <xdr:row>13</xdr:row>
      <xdr:rowOff>166594</xdr:rowOff>
    </xdr:from>
    <xdr:to>
      <xdr:col>4</xdr:col>
      <xdr:colOff>1612153</xdr:colOff>
      <xdr:row>13</xdr:row>
      <xdr:rowOff>166594</xdr:rowOff>
    </xdr:to>
    <xdr:cxnSp macro="">
      <xdr:nvCxnSpPr>
        <xdr:cNvPr id="1240" name="直線矢印コネクタ 1239"/>
        <xdr:cNvCxnSpPr>
          <a:stCxn id="1218" idx="6"/>
          <a:endCxn id="1219" idx="2"/>
        </xdr:cNvCxnSpPr>
      </xdr:nvCxnSpPr>
      <xdr:spPr>
        <a:xfrm>
          <a:off x="10517094" y="2497418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650128</xdr:colOff>
      <xdr:row>13</xdr:row>
      <xdr:rowOff>166594</xdr:rowOff>
    </xdr:from>
    <xdr:to>
      <xdr:col>6</xdr:col>
      <xdr:colOff>93569</xdr:colOff>
      <xdr:row>13</xdr:row>
      <xdr:rowOff>166594</xdr:rowOff>
    </xdr:to>
    <xdr:cxnSp macro="">
      <xdr:nvCxnSpPr>
        <xdr:cNvPr id="1241" name="直線矢印コネクタ 1240"/>
        <xdr:cNvCxnSpPr>
          <a:stCxn id="1219" idx="6"/>
          <a:endCxn id="1220" idx="2"/>
        </xdr:cNvCxnSpPr>
      </xdr:nvCxnSpPr>
      <xdr:spPr>
        <a:xfrm>
          <a:off x="11407775" y="2497418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506692</xdr:colOff>
      <xdr:row>13</xdr:row>
      <xdr:rowOff>166594</xdr:rowOff>
    </xdr:from>
    <xdr:to>
      <xdr:col>9</xdr:col>
      <xdr:colOff>600075</xdr:colOff>
      <xdr:row>13</xdr:row>
      <xdr:rowOff>166594</xdr:rowOff>
    </xdr:to>
    <xdr:cxnSp macro="">
      <xdr:nvCxnSpPr>
        <xdr:cNvPr id="1244" name="直線矢印コネクタ 1243"/>
        <xdr:cNvCxnSpPr>
          <a:stCxn id="1222" idx="6"/>
          <a:endCxn id="1223" idx="2"/>
        </xdr:cNvCxnSpPr>
      </xdr:nvCxnSpPr>
      <xdr:spPr>
        <a:xfrm>
          <a:off x="13998574" y="2497418"/>
          <a:ext cx="93383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754527</xdr:colOff>
      <xdr:row>19</xdr:row>
      <xdr:rowOff>96558</xdr:rowOff>
    </xdr:from>
    <xdr:to>
      <xdr:col>2</xdr:col>
      <xdr:colOff>1521570</xdr:colOff>
      <xdr:row>24</xdr:row>
      <xdr:rowOff>1308</xdr:rowOff>
    </xdr:to>
    <xdr:sp macro="" textlink="">
      <xdr:nvSpPr>
        <xdr:cNvPr id="1256" name="円/楕円 1255"/>
        <xdr:cNvSpPr/>
      </xdr:nvSpPr>
      <xdr:spPr>
        <a:xfrm>
          <a:off x="4508498" y="3435911"/>
          <a:ext cx="767043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en-US" altLang="ja-JP" sz="1100">
              <a:solidFill>
                <a:srgbClr val="000000"/>
              </a:solidFill>
            </a:rPr>
            <a:t>A_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222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1626158</xdr:colOff>
      <xdr:row>21</xdr:row>
      <xdr:rowOff>132978</xdr:rowOff>
    </xdr:from>
    <xdr:to>
      <xdr:col>2</xdr:col>
      <xdr:colOff>754527</xdr:colOff>
      <xdr:row>25</xdr:row>
      <xdr:rowOff>139514</xdr:rowOff>
    </xdr:to>
    <xdr:cxnSp macro="">
      <xdr:nvCxnSpPr>
        <xdr:cNvPr id="1257" name="直線矢印コネクタ 1256"/>
        <xdr:cNvCxnSpPr>
          <a:stCxn id="1212" idx="6"/>
          <a:endCxn id="1256" idx="2"/>
        </xdr:cNvCxnSpPr>
      </xdr:nvCxnSpPr>
      <xdr:spPr>
        <a:xfrm flipV="1">
          <a:off x="3564776" y="3808507"/>
          <a:ext cx="943722" cy="67888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1521570</xdr:colOff>
      <xdr:row>13</xdr:row>
      <xdr:rowOff>166594</xdr:rowOff>
    </xdr:from>
    <xdr:to>
      <xdr:col>2</xdr:col>
      <xdr:colOff>2578473</xdr:colOff>
      <xdr:row>21</xdr:row>
      <xdr:rowOff>132978</xdr:rowOff>
    </xdr:to>
    <xdr:cxnSp macro="">
      <xdr:nvCxnSpPr>
        <xdr:cNvPr id="1258" name="直線矢印コネクタ 1257"/>
        <xdr:cNvCxnSpPr>
          <a:stCxn id="1256" idx="6"/>
          <a:endCxn id="1214" idx="2"/>
        </xdr:cNvCxnSpPr>
      </xdr:nvCxnSpPr>
      <xdr:spPr>
        <a:xfrm flipV="1">
          <a:off x="5275541" y="2497418"/>
          <a:ext cx="1056903" cy="131108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26147</xdr:colOff>
      <xdr:row>20</xdr:row>
      <xdr:rowOff>6910</xdr:rowOff>
    </xdr:from>
    <xdr:to>
      <xdr:col>4</xdr:col>
      <xdr:colOff>793190</xdr:colOff>
      <xdr:row>24</xdr:row>
      <xdr:rowOff>79748</xdr:rowOff>
    </xdr:to>
    <xdr:sp macro="" textlink="">
      <xdr:nvSpPr>
        <xdr:cNvPr id="11" name="円/楕円 10"/>
        <xdr:cNvSpPr/>
      </xdr:nvSpPr>
      <xdr:spPr>
        <a:xfrm>
          <a:off x="9058088" y="3514351"/>
          <a:ext cx="767043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ゴミ捨て</a:t>
          </a:r>
        </a:p>
      </xdr:txBody>
    </xdr:sp>
    <xdr:clientData/>
  </xdr:twoCellAnchor>
  <xdr:twoCellAnchor>
    <xdr:from>
      <xdr:col>7</xdr:col>
      <xdr:colOff>124573</xdr:colOff>
      <xdr:row>20</xdr:row>
      <xdr:rowOff>6910</xdr:rowOff>
    </xdr:from>
    <xdr:to>
      <xdr:col>8</xdr:col>
      <xdr:colOff>203014</xdr:colOff>
      <xdr:row>24</xdr:row>
      <xdr:rowOff>79748</xdr:rowOff>
    </xdr:to>
    <xdr:sp macro="" textlink="">
      <xdr:nvSpPr>
        <xdr:cNvPr id="12" name="円/楕円 11"/>
        <xdr:cNvSpPr/>
      </xdr:nvSpPr>
      <xdr:spPr>
        <a:xfrm>
          <a:off x="12249338" y="3514351"/>
          <a:ext cx="762000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風呂掃除</a:t>
          </a:r>
        </a:p>
      </xdr:txBody>
    </xdr:sp>
    <xdr:clientData/>
  </xdr:twoCellAnchor>
  <xdr:twoCellAnchor>
    <xdr:from>
      <xdr:col>3</xdr:col>
      <xdr:colOff>1613273</xdr:colOff>
      <xdr:row>13</xdr:row>
      <xdr:rowOff>166594</xdr:rowOff>
    </xdr:from>
    <xdr:to>
      <xdr:col>4</xdr:col>
      <xdr:colOff>26147</xdr:colOff>
      <xdr:row>22</xdr:row>
      <xdr:rowOff>43329</xdr:rowOff>
    </xdr:to>
    <xdr:cxnSp macro="">
      <xdr:nvCxnSpPr>
        <xdr:cNvPr id="13" name="直線矢印コネクタ 12"/>
        <xdr:cNvCxnSpPr>
          <a:stCxn id="1216" idx="6"/>
          <a:endCxn id="11" idx="2"/>
        </xdr:cNvCxnSpPr>
      </xdr:nvCxnSpPr>
      <xdr:spPr>
        <a:xfrm>
          <a:off x="8874685" y="2497418"/>
          <a:ext cx="183403" cy="138952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723153</xdr:colOff>
      <xdr:row>13</xdr:row>
      <xdr:rowOff>166594</xdr:rowOff>
    </xdr:from>
    <xdr:to>
      <xdr:col>4</xdr:col>
      <xdr:colOff>793190</xdr:colOff>
      <xdr:row>22</xdr:row>
      <xdr:rowOff>43329</xdr:rowOff>
    </xdr:to>
    <xdr:cxnSp macro="">
      <xdr:nvCxnSpPr>
        <xdr:cNvPr id="14" name="直線矢印コネクタ 13"/>
        <xdr:cNvCxnSpPr>
          <a:stCxn id="11" idx="6"/>
          <a:endCxn id="1218" idx="2"/>
        </xdr:cNvCxnSpPr>
      </xdr:nvCxnSpPr>
      <xdr:spPr>
        <a:xfrm flipH="1" flipV="1">
          <a:off x="9755094" y="2497418"/>
          <a:ext cx="70037" cy="138952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124573</xdr:colOff>
      <xdr:row>13</xdr:row>
      <xdr:rowOff>168275</xdr:rowOff>
    </xdr:from>
    <xdr:to>
      <xdr:col>7</xdr:col>
      <xdr:colOff>167528</xdr:colOff>
      <xdr:row>22</xdr:row>
      <xdr:rowOff>43329</xdr:rowOff>
    </xdr:to>
    <xdr:cxnSp macro="">
      <xdr:nvCxnSpPr>
        <xdr:cNvPr id="17" name="直線矢印コネクタ 16"/>
        <xdr:cNvCxnSpPr>
          <a:stCxn id="1220" idx="6"/>
          <a:endCxn id="12" idx="2"/>
        </xdr:cNvCxnSpPr>
      </xdr:nvCxnSpPr>
      <xdr:spPr>
        <a:xfrm flipH="1">
          <a:off x="12249898" y="2540000"/>
          <a:ext cx="42955" cy="14181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203014</xdr:colOff>
      <xdr:row>13</xdr:row>
      <xdr:rowOff>168275</xdr:rowOff>
    </xdr:from>
    <xdr:to>
      <xdr:col>8</xdr:col>
      <xdr:colOff>430492</xdr:colOff>
      <xdr:row>22</xdr:row>
      <xdr:rowOff>43329</xdr:rowOff>
    </xdr:to>
    <xdr:cxnSp macro="">
      <xdr:nvCxnSpPr>
        <xdr:cNvPr id="18" name="直線矢印コネクタ 17"/>
        <xdr:cNvCxnSpPr>
          <a:stCxn id="12" idx="6"/>
          <a:endCxn id="1222" idx="2"/>
        </xdr:cNvCxnSpPr>
      </xdr:nvCxnSpPr>
      <xdr:spPr>
        <a:xfrm flipV="1">
          <a:off x="13014139" y="2540000"/>
          <a:ext cx="227478" cy="14181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2614705</xdr:colOff>
      <xdr:row>23</xdr:row>
      <xdr:rowOff>118969</xdr:rowOff>
    </xdr:from>
    <xdr:to>
      <xdr:col>2</xdr:col>
      <xdr:colOff>3381748</xdr:colOff>
      <xdr:row>28</xdr:row>
      <xdr:rowOff>23719</xdr:rowOff>
    </xdr:to>
    <xdr:sp macro="" textlink="">
      <xdr:nvSpPr>
        <xdr:cNvPr id="19" name="円/楕円 18"/>
        <xdr:cNvSpPr/>
      </xdr:nvSpPr>
      <xdr:spPr>
        <a:xfrm>
          <a:off x="6368676" y="4130675"/>
          <a:ext cx="767043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タスク名未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定</a:t>
          </a:r>
        </a:p>
      </xdr:txBody>
    </xdr:sp>
    <xdr:clientData/>
  </xdr:twoCellAnchor>
  <xdr:twoCellAnchor>
    <xdr:from>
      <xdr:col>2</xdr:col>
      <xdr:colOff>1521570</xdr:colOff>
      <xdr:row>21</xdr:row>
      <xdr:rowOff>132978</xdr:rowOff>
    </xdr:from>
    <xdr:to>
      <xdr:col>2</xdr:col>
      <xdr:colOff>2614705</xdr:colOff>
      <xdr:row>25</xdr:row>
      <xdr:rowOff>155389</xdr:rowOff>
    </xdr:to>
    <xdr:cxnSp macro="">
      <xdr:nvCxnSpPr>
        <xdr:cNvPr id="20" name="直線矢印コネクタ 19"/>
        <xdr:cNvCxnSpPr>
          <a:stCxn id="1256" idx="6"/>
          <a:endCxn id="19" idx="2"/>
        </xdr:cNvCxnSpPr>
      </xdr:nvCxnSpPr>
      <xdr:spPr>
        <a:xfrm>
          <a:off x="5275541" y="3808507"/>
          <a:ext cx="1093135" cy="69476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3381748</xdr:colOff>
      <xdr:row>13</xdr:row>
      <xdr:rowOff>166594</xdr:rowOff>
    </xdr:from>
    <xdr:to>
      <xdr:col>3</xdr:col>
      <xdr:colOff>851273</xdr:colOff>
      <xdr:row>25</xdr:row>
      <xdr:rowOff>155389</xdr:rowOff>
    </xdr:to>
    <xdr:cxnSp macro="">
      <xdr:nvCxnSpPr>
        <xdr:cNvPr id="21" name="直線矢印コネクタ 20"/>
        <xdr:cNvCxnSpPr>
          <a:stCxn id="19" idx="6"/>
          <a:endCxn id="1216" idx="2"/>
        </xdr:cNvCxnSpPr>
      </xdr:nvCxnSpPr>
      <xdr:spPr>
        <a:xfrm flipV="1">
          <a:off x="7135719" y="2497418"/>
          <a:ext cx="976966" cy="2005853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B19"/>
  <sheetViews>
    <sheetView tabSelected="1" workbookViewId="0"/>
  </sheetViews>
  <sheetFormatPr defaultRowHeight="13.5" x14ac:dyDescent="0.15"/>
  <cols>
    <col min="1" max="1" width="27.25" bestFit="1" customWidth="1"/>
    <col min="2" max="2" width="29.375" bestFit="1" customWidth="1"/>
  </cols>
  <sheetData>
    <row r="1" spans="1:2" s="2" customFormat="1" ht="42" x14ac:dyDescent="0.15">
      <c r="A1" s="1" t="s">
        <v>35</v>
      </c>
    </row>
    <row r="3" spans="1:2" x14ac:dyDescent="0.15">
      <c r="A3" s="3" t="s">
        <v>36</v>
      </c>
      <c r="B3" s="3" t="s">
        <v>38</v>
      </c>
    </row>
    <row r="4" spans="1:2" x14ac:dyDescent="0.15">
      <c r="A4" s="11" t="s">
        <v>39</v>
      </c>
      <c r="B4" s="11" t="s">
        <v>41</v>
      </c>
    </row>
    <row r="5" spans="1:2" x14ac:dyDescent="0.15">
      <c r="A5" t="s">
        <v>54</v>
      </c>
      <c r="B5" t="s">
        <v>42</v>
      </c>
    </row>
    <row r="6" spans="1:2" x14ac:dyDescent="0.15">
      <c r="A6" t="s">
        <v>0</v>
      </c>
      <c r="B6" t="s">
        <v>43</v>
      </c>
    </row>
    <row r="7" spans="1:2" x14ac:dyDescent="0.15">
      <c r="A7" t="s">
        <v>1</v>
      </c>
      <c r="B7" t="s">
        <v>44</v>
      </c>
    </row>
    <row r="8" spans="1:2" x14ac:dyDescent="0.15">
      <c r="A8" t="s">
        <v>57</v>
      </c>
      <c r="B8" t="s">
        <v>56</v>
      </c>
    </row>
    <row r="9" spans="1:2" x14ac:dyDescent="0.15">
      <c r="A9" t="s">
        <v>2</v>
      </c>
      <c r="B9" t="s">
        <v>45</v>
      </c>
    </row>
    <row r="10" spans="1:2" x14ac:dyDescent="0.15">
      <c r="A10" t="s">
        <v>3</v>
      </c>
      <c r="B10" t="s">
        <v>46</v>
      </c>
    </row>
    <row r="11" spans="1:2" x14ac:dyDescent="0.15">
      <c r="A11" t="s">
        <v>4</v>
      </c>
      <c r="B11" t="s">
        <v>47</v>
      </c>
    </row>
    <row r="12" spans="1:2" x14ac:dyDescent="0.15">
      <c r="A12" t="s">
        <v>5</v>
      </c>
      <c r="B12" t="s">
        <v>66</v>
      </c>
    </row>
    <row r="13" spans="1:2" x14ac:dyDescent="0.15">
      <c r="A13" t="s">
        <v>12</v>
      </c>
      <c r="B13" t="s">
        <v>48</v>
      </c>
    </row>
    <row r="14" spans="1:2" x14ac:dyDescent="0.15">
      <c r="A14" t="s">
        <v>13</v>
      </c>
      <c r="B14" t="s">
        <v>49</v>
      </c>
    </row>
    <row r="15" spans="1:2" x14ac:dyDescent="0.15">
      <c r="A15" t="s">
        <v>14</v>
      </c>
      <c r="B15" t="s">
        <v>50</v>
      </c>
    </row>
    <row r="16" spans="1:2" x14ac:dyDescent="0.15">
      <c r="A16" t="s">
        <v>10</v>
      </c>
      <c r="B16" t="s">
        <v>67</v>
      </c>
    </row>
    <row r="17" spans="1:2" x14ac:dyDescent="0.15">
      <c r="A17" t="s">
        <v>11</v>
      </c>
      <c r="B17" t="s">
        <v>51</v>
      </c>
    </row>
    <row r="18" spans="1:2" x14ac:dyDescent="0.15">
      <c r="A18" t="s">
        <v>40</v>
      </c>
      <c r="B18" t="s">
        <v>52</v>
      </c>
    </row>
    <row r="19" spans="1:2" x14ac:dyDescent="0.15">
      <c r="A19" t="s">
        <v>69</v>
      </c>
      <c r="B19" t="s">
        <v>68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D31" sqref="D31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6</v>
      </c>
      <c r="B1" s="7" t="s">
        <v>7</v>
      </c>
      <c r="C1" s="7" t="s">
        <v>8</v>
      </c>
      <c r="D1" s="7" t="s">
        <v>37</v>
      </c>
      <c r="E1" s="7" t="s">
        <v>9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5.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20</v>
      </c>
    </row>
    <row r="3" spans="1:6" x14ac:dyDescent="0.15">
      <c r="A3" s="3" t="s">
        <v>15</v>
      </c>
      <c r="B3" s="3" t="s">
        <v>16</v>
      </c>
      <c r="C3" s="3" t="s">
        <v>19</v>
      </c>
      <c r="D3" s="3" t="s">
        <v>34</v>
      </c>
      <c r="E3" s="3" t="s">
        <v>17</v>
      </c>
      <c r="F3" s="3" t="s">
        <v>18</v>
      </c>
    </row>
    <row r="4" spans="1:6" x14ac:dyDescent="0.15">
      <c r="A4">
        <v>0</v>
      </c>
      <c r="B4" t="s">
        <v>21</v>
      </c>
      <c r="D4">
        <v>1</v>
      </c>
      <c r="E4" s="8">
        <v>44344</v>
      </c>
      <c r="F4" s="8">
        <f>WORKDAY(E4,D4,Holidays!A:A)</f>
        <v>44347</v>
      </c>
    </row>
    <row r="5" spans="1:6" x14ac:dyDescent="0.15">
      <c r="A5">
        <v>1</v>
      </c>
      <c r="B5" t="s">
        <v>53</v>
      </c>
      <c r="C5">
        <v>0</v>
      </c>
      <c r="D5">
        <v>1</v>
      </c>
      <c r="E5" s="8">
        <f>WORKDAY(MAX(F4),1,Holidays!A:A)</f>
        <v>44348</v>
      </c>
      <c r="F5" s="8">
        <f>WORKDAY(E5,D5,Holidays!A:A)</f>
        <v>44349</v>
      </c>
    </row>
    <row r="6" spans="1:6" x14ac:dyDescent="0.15">
      <c r="A6">
        <v>2</v>
      </c>
      <c r="B6" t="s">
        <v>23</v>
      </c>
      <c r="C6">
        <v>0</v>
      </c>
      <c r="D6">
        <v>1</v>
      </c>
      <c r="E6" s="8">
        <f>WORKDAY(MAX(F4),1,Holidays!A:A)</f>
        <v>44348</v>
      </c>
      <c r="F6" s="8">
        <f>WORKDAY(E6,D6,Holidays!A:A)</f>
        <v>44349</v>
      </c>
    </row>
    <row r="7" spans="1:6" x14ac:dyDescent="0.15">
      <c r="A7">
        <v>3</v>
      </c>
      <c r="B7" t="s">
        <v>30</v>
      </c>
      <c r="C7">
        <v>0</v>
      </c>
      <c r="D7">
        <v>1</v>
      </c>
      <c r="E7" s="8">
        <f>WORKDAY(MAX(F4),1,Holidays!A:A)</f>
        <v>44348</v>
      </c>
      <c r="F7" s="8">
        <f>WORKDAY(E7,D7,Holidays!A:A)</f>
        <v>44349</v>
      </c>
    </row>
    <row r="8" spans="1:6" x14ac:dyDescent="0.15">
      <c r="A8">
        <v>4</v>
      </c>
      <c r="B8" t="s">
        <v>32</v>
      </c>
      <c r="C8" t="s">
        <v>55</v>
      </c>
      <c r="D8">
        <v>1</v>
      </c>
      <c r="E8" s="8">
        <f>WORKDAY(MAX(F5,F6,F7),1,Holidays!A:A)</f>
        <v>44350</v>
      </c>
      <c r="F8" s="8">
        <f>WORKDAY(E8,D8,Holidays!A:A)</f>
        <v>44351</v>
      </c>
    </row>
    <row r="9" spans="1:6" x14ac:dyDescent="0.15">
      <c r="A9">
        <v>5</v>
      </c>
      <c r="B9" t="s">
        <v>31</v>
      </c>
      <c r="C9">
        <v>4</v>
      </c>
      <c r="D9">
        <v>1</v>
      </c>
      <c r="E9" s="8">
        <f>WORKDAY(MAX(F8),1,Holidays!A:A)</f>
        <v>44354</v>
      </c>
      <c r="F9" s="8">
        <f>WORKDAY(E9,D9,Holidays!A:A)</f>
        <v>44355</v>
      </c>
    </row>
    <row r="10" spans="1:6" x14ac:dyDescent="0.15">
      <c r="A10">
        <v>6</v>
      </c>
      <c r="B10" t="s">
        <v>24</v>
      </c>
      <c r="C10">
        <v>5</v>
      </c>
      <c r="D10">
        <v>1</v>
      </c>
      <c r="E10" s="8">
        <f>WORKDAY(MAX(F9),1,Holidays!A:A)</f>
        <v>44356</v>
      </c>
      <c r="F10" s="8">
        <f>WORKDAY(E10,D10,Holidays!A:A)</f>
        <v>44357</v>
      </c>
    </row>
    <row r="11" spans="1:6" x14ac:dyDescent="0.15">
      <c r="A11">
        <v>7</v>
      </c>
      <c r="B11" t="s">
        <v>22</v>
      </c>
      <c r="C11">
        <v>6</v>
      </c>
      <c r="D11">
        <v>1</v>
      </c>
      <c r="E11" s="8">
        <f>WORKDAY(MAX(F10),1,Holidays!A:A)</f>
        <v>44358</v>
      </c>
      <c r="F11" s="8">
        <f>WORKDAY(E11,D11,Holidays!A:A)</f>
        <v>44361</v>
      </c>
    </row>
    <row r="12" spans="1:6" x14ac:dyDescent="0.15">
      <c r="A12">
        <v>8</v>
      </c>
      <c r="B12" t="s">
        <v>26</v>
      </c>
      <c r="C12">
        <v>7</v>
      </c>
      <c r="D12">
        <v>1</v>
      </c>
      <c r="E12" s="8">
        <f>WORKDAY(MAX(F11),1,Holidays!A:A)</f>
        <v>44362</v>
      </c>
      <c r="F12" s="8">
        <f>WORKDAY(E12,D12,Holidays!A:A)</f>
        <v>44363</v>
      </c>
    </row>
    <row r="13" spans="1:6" x14ac:dyDescent="0.15">
      <c r="A13">
        <v>9</v>
      </c>
      <c r="B13" t="s">
        <v>27</v>
      </c>
      <c r="C13">
        <v>8</v>
      </c>
      <c r="D13">
        <v>1</v>
      </c>
      <c r="E13" s="8">
        <f>WORKDAY(MAX(F12),1,Holidays!A:A)</f>
        <v>44364</v>
      </c>
      <c r="F13" s="8">
        <f>WORKDAY(E13,D13,Holidays!A:A)</f>
        <v>44365</v>
      </c>
    </row>
    <row r="14" spans="1:6" x14ac:dyDescent="0.15">
      <c r="A14">
        <v>10</v>
      </c>
      <c r="B14" t="s">
        <v>28</v>
      </c>
      <c r="C14">
        <v>9</v>
      </c>
      <c r="D14">
        <v>1</v>
      </c>
      <c r="E14" s="8">
        <f>WORKDAY(MAX(F13),1,Holidays!A:A)</f>
        <v>44368</v>
      </c>
      <c r="F14" s="8">
        <f>WORKDAY(E14,D14,Holidays!A:A)</f>
        <v>44369</v>
      </c>
    </row>
    <row r="15" spans="1:6" x14ac:dyDescent="0.15">
      <c r="A15">
        <v>11</v>
      </c>
      <c r="B15" t="s">
        <v>29</v>
      </c>
      <c r="C15">
        <v>10</v>
      </c>
      <c r="D15">
        <v>1</v>
      </c>
      <c r="E15" s="8">
        <f>WORKDAY(MAX(F14),1,Holidays!A:A)</f>
        <v>44370</v>
      </c>
      <c r="F15" s="8">
        <f>WORKDAY(E15,D15,Holidays!A:A)</f>
        <v>44371</v>
      </c>
    </row>
    <row r="16" spans="1:6" x14ac:dyDescent="0.15">
      <c r="A16">
        <v>12</v>
      </c>
      <c r="B16" t="s">
        <v>25</v>
      </c>
      <c r="C16">
        <v>11</v>
      </c>
      <c r="D16">
        <v>1</v>
      </c>
      <c r="E16" s="8">
        <f>WORKDAY(MAX(F15),1,Holidays!A:A)</f>
        <v>44372</v>
      </c>
      <c r="F16" s="8">
        <f>WORKDAY(E16,D16,Holidays!A:A)</f>
        <v>44375</v>
      </c>
    </row>
    <row r="17" spans="1:6" x14ac:dyDescent="0.15">
      <c r="A17">
        <v>13</v>
      </c>
      <c r="B17" t="s">
        <v>33</v>
      </c>
      <c r="C17">
        <v>12</v>
      </c>
      <c r="D17">
        <v>1</v>
      </c>
      <c r="E17" s="8">
        <f>WORKDAY(MAX(F16),1,Holidays!A:A)</f>
        <v>44376</v>
      </c>
      <c r="F17" s="8">
        <f>WORKDAY(E17,D17,Holidays!A:A)</f>
        <v>44377</v>
      </c>
    </row>
    <row r="18" spans="1:6" x14ac:dyDescent="0.15">
      <c r="E18" s="8"/>
      <c r="F18" s="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/>
  </sheetViews>
  <sheetFormatPr defaultRowHeight="13.5" x14ac:dyDescent="0.15"/>
  <cols>
    <col min="2" max="2" width="54.75" bestFit="1" customWidth="1"/>
    <col min="3" max="3" width="49.25" customWidth="1"/>
  </cols>
  <sheetData>
    <row r="1" spans="1:4" x14ac:dyDescent="0.15">
      <c r="A1" s="3" t="s">
        <v>58</v>
      </c>
      <c r="B1" s="3" t="s">
        <v>59</v>
      </c>
      <c r="C1" s="3" t="s">
        <v>61</v>
      </c>
      <c r="D1" s="3" t="s">
        <v>64</v>
      </c>
    </row>
    <row r="2" spans="1:4" ht="67.5" x14ac:dyDescent="0.15">
      <c r="A2">
        <v>1</v>
      </c>
      <c r="B2" t="s">
        <v>60</v>
      </c>
      <c r="C2" s="12" t="s">
        <v>62</v>
      </c>
    </row>
    <row r="3" spans="1:4" s="13" customFormat="1" x14ac:dyDescent="0.15">
      <c r="A3" s="13">
        <v>2</v>
      </c>
      <c r="B3" s="13" t="s">
        <v>63</v>
      </c>
      <c r="C3" s="13" t="s">
        <v>65</v>
      </c>
      <c r="D3" s="13" t="s">
        <v>70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TaskList</vt:lpstr>
      <vt:lpstr>Draw</vt:lpstr>
      <vt:lpstr>Schedule</vt:lpstr>
      <vt:lpstr>Holidays</vt:lpstr>
      <vt:lpstr>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2021-05-27T16:53:38Z</dcterms:modified>
</cp:coreProperties>
</file>