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/>
  </bookViews>
  <sheets>
    <sheet name="Schedule" sheetId="3" r:id="rId1"/>
    <sheet name="Draw" sheetId="1" r:id="rId2"/>
    <sheet name="Holidays" sheetId="4" r:id="rId3"/>
    <sheet name="Issue" sheetId="5" r:id="rId4"/>
  </sheets>
  <functionGroups builtInGroupCount="18"/>
  <definedNames>
    <definedName name="_xlnm._FilterDatabase" localSheetId="0" hidden="1">Schedule!$A$3:$I$20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9" i="3" s="1"/>
  <c r="F9" i="3" s="1"/>
  <c r="E11" i="3" s="1"/>
  <c r="F11" i="3" s="1"/>
  <c r="E5" i="3" l="1"/>
  <c r="F5" i="3" s="1"/>
  <c r="E8" i="3"/>
  <c r="F8" i="3" s="1"/>
  <c r="E10" i="3" s="1"/>
  <c r="F10" i="3" s="1"/>
  <c r="E6" i="3"/>
  <c r="F6" i="3" s="1"/>
  <c r="E7" i="3" l="1"/>
  <c r="F7" i="3" s="1"/>
  <c r="E14" i="3" s="1"/>
  <c r="F14" i="3" s="1"/>
  <c r="E13" i="3"/>
  <c r="F13" i="3" s="1"/>
  <c r="E12" i="3"/>
  <c r="F12" i="3" s="1"/>
  <c r="E15" i="3" l="1"/>
  <c r="F15" i="3" s="1"/>
  <c r="E16" i="3" s="1"/>
  <c r="F16" i="3" s="1"/>
  <c r="E18" i="3" l="1"/>
  <c r="F18" i="3" s="1"/>
  <c r="E19" i="3" s="1"/>
  <c r="F19" i="3" s="1"/>
  <c r="E17" i="3"/>
  <c r="F17" i="3" s="1"/>
  <c r="E20" i="3" l="1"/>
  <c r="F20" i="3" s="1"/>
</calcChain>
</file>

<file path=xl/sharedStrings.xml><?xml version="1.0" encoding="utf-8"?>
<sst xmlns="http://schemas.openxmlformats.org/spreadsheetml/2006/main" count="97" uniqueCount="86">
  <si>
    <t>Initiate</t>
    <phoneticPr fontId="1"/>
  </si>
  <si>
    <t>Locate</t>
    <phoneticPr fontId="1"/>
  </si>
  <si>
    <t>Connect</t>
    <phoneticPr fontId="1"/>
  </si>
  <si>
    <t>Remove</t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</si>
  <si>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</si>
  <si>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</si>
  <si>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</si>
  <si>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</si>
  <si>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</si>
  <si>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</si>
  <si>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Duration</t>
    <phoneticPr fontId="1"/>
  </si>
  <si>
    <t>Number</t>
    <phoneticPr fontId="1"/>
  </si>
  <si>
    <t>Shape Names in Draw sheet</t>
    <phoneticPr fontId="1"/>
  </si>
  <si>
    <t>No</t>
    <phoneticPr fontId="1"/>
  </si>
  <si>
    <t>内容</t>
    <rPh sb="0" eb="2">
      <t>ナイヨウ</t>
    </rPh>
    <phoneticPr fontId="1"/>
  </si>
  <si>
    <t>PlotTaskをしたときに、先頭に付加されたNumberが外れる問題</t>
    <rPh sb="15" eb="17">
      <t>セントウ</t>
    </rPh>
    <rPh sb="18" eb="20">
      <t>フカ</t>
    </rPh>
    <rPh sb="30" eb="31">
      <t>ハズ</t>
    </rPh>
    <rPh sb="33" eb="35">
      <t>モンダイ</t>
    </rPh>
    <phoneticPr fontId="1"/>
  </si>
  <si>
    <t>解決案</t>
    <rPh sb="0" eb="2">
      <t>カイケツ</t>
    </rPh>
    <rPh sb="2" eb="3">
      <t>アン</t>
    </rPh>
    <phoneticPr fontId="1"/>
  </si>
  <si>
    <t>A) ShapeからNumberを読み取って保持する処理
メリット：シンプル
B) TaskList上でNumberを保持する処理
メリット：ナンバーの書き換えがタスクリストでできる。それによってタスクリスト上の並び替えもできる。</t>
    <rPh sb="17" eb="18">
      <t>ヨ</t>
    </rPh>
    <rPh sb="19" eb="20">
      <t>ト</t>
    </rPh>
    <rPh sb="22" eb="24">
      <t>ホジ</t>
    </rPh>
    <rPh sb="26" eb="28">
      <t>ショリ</t>
    </rPh>
    <rPh sb="50" eb="51">
      <t>ジョウ</t>
    </rPh>
    <rPh sb="59" eb="61">
      <t>ホジ</t>
    </rPh>
    <rPh sb="63" eb="65">
      <t>ショリ</t>
    </rPh>
    <rPh sb="76" eb="77">
      <t>カ</t>
    </rPh>
    <rPh sb="78" eb="79">
      <t>カ</t>
    </rPh>
    <rPh sb="104" eb="105">
      <t>ジョウ</t>
    </rPh>
    <rPh sb="106" eb="107">
      <t>ナラ</t>
    </rPh>
    <rPh sb="108" eb="109">
      <t>カ</t>
    </rPh>
    <phoneticPr fontId="1"/>
  </si>
  <si>
    <t>PlotTaskをしたときに、タスクリスト管理外のOvalを削除しない問題</t>
    <rPh sb="21" eb="24">
      <t>カンリガイ</t>
    </rPh>
    <rPh sb="30" eb="32">
      <t>サクジョ</t>
    </rPh>
    <rPh sb="35" eb="37">
      <t>モンダイ</t>
    </rPh>
    <phoneticPr fontId="1"/>
  </si>
  <si>
    <t>ステータス</t>
    <phoneticPr fontId="1"/>
  </si>
  <si>
    <t>タスクリストから検索させてRemoveする</t>
    <rPh sb="8" eb="10">
      <t>ケンサク</t>
    </rPh>
    <phoneticPr fontId="1"/>
  </si>
  <si>
    <t>Done</t>
    <phoneticPr fontId="1"/>
  </si>
  <si>
    <t>Done with B</t>
    <phoneticPr fontId="1"/>
  </si>
  <si>
    <t>ScheduleシートとTaskListシートを一本にまとめる</t>
    <rPh sb="24" eb="26">
      <t>イッポン</t>
    </rPh>
    <phoneticPr fontId="1"/>
  </si>
  <si>
    <t>Oval 1276</t>
  </si>
  <si>
    <t>Oval 1277</t>
  </si>
  <si>
    <t>Oval 1278</t>
  </si>
  <si>
    <t>Oval 1279</t>
  </si>
  <si>
    <t>Oval 1281</t>
  </si>
  <si>
    <t>Oval 1282</t>
  </si>
  <si>
    <t>Oval 1283</t>
  </si>
  <si>
    <t>Oval 1284</t>
  </si>
  <si>
    <t>Oval 1286</t>
  </si>
  <si>
    <t>Oval 1287</t>
  </si>
  <si>
    <t>Oval 1288</t>
  </si>
  <si>
    <t>Oval 1289</t>
  </si>
  <si>
    <t>Oval 1290</t>
  </si>
  <si>
    <t>Assign To</t>
    <phoneticPr fontId="1"/>
  </si>
  <si>
    <t>Staff A</t>
    <phoneticPr fontId="1"/>
  </si>
  <si>
    <t>Staff B</t>
    <phoneticPr fontId="1"/>
  </si>
  <si>
    <t>Staff A</t>
    <phoneticPr fontId="1"/>
  </si>
  <si>
    <t>Staff A</t>
    <phoneticPr fontId="1"/>
  </si>
  <si>
    <t>Staff C</t>
    <phoneticPr fontId="1"/>
  </si>
  <si>
    <t>Staff B</t>
    <phoneticPr fontId="1"/>
  </si>
  <si>
    <t>Staff C</t>
    <phoneticPr fontId="1"/>
  </si>
  <si>
    <t>コーディング</t>
    <phoneticPr fontId="1"/>
  </si>
  <si>
    <t>Done</t>
    <phoneticPr fontId="1"/>
  </si>
  <si>
    <t>タスク開始日を前タスク終了直後に設定したい場合がある。</t>
    <rPh sb="3" eb="5">
      <t>カイシ</t>
    </rPh>
    <rPh sb="5" eb="6">
      <t>ビ</t>
    </rPh>
    <rPh sb="7" eb="8">
      <t>マエ</t>
    </rPh>
    <rPh sb="11" eb="13">
      <t>シュウリョウ</t>
    </rPh>
    <rPh sb="13" eb="15">
      <t>チョクゴ</t>
    </rPh>
    <rPh sb="16" eb="18">
      <t>セッテイ</t>
    </rPh>
    <rPh sb="21" eb="23">
      <t>バアイ</t>
    </rPh>
    <phoneticPr fontId="1"/>
  </si>
  <si>
    <t>スケジュールシートにStart Offset列を作って0か1を指定できるようにする。</t>
    <rPh sb="22" eb="23">
      <t>レツ</t>
    </rPh>
    <rPh sb="24" eb="25">
      <t>ツク</t>
    </rPh>
    <rPh sb="31" eb="33">
      <t>シテイ</t>
    </rPh>
    <phoneticPr fontId="1"/>
  </si>
  <si>
    <t>Dependencyが複数だと文字列扱いになって左寄せになる。</t>
    <rPh sb="11" eb="13">
      <t>フクスウ</t>
    </rPh>
    <rPh sb="15" eb="18">
      <t>モジレツ</t>
    </rPh>
    <rPh sb="18" eb="19">
      <t>アツカ</t>
    </rPh>
    <rPh sb="24" eb="26">
      <t>ヒダリヨ</t>
    </rPh>
    <phoneticPr fontId="1"/>
  </si>
  <si>
    <t>すべて右寄せに変更する。</t>
    <rPh sb="3" eb="4">
      <t>ミギ</t>
    </rPh>
    <rPh sb="7" eb="9">
      <t>ヘンコウ</t>
    </rPh>
    <phoneticPr fontId="1"/>
  </si>
  <si>
    <t>Done</t>
    <phoneticPr fontId="1"/>
  </si>
  <si>
    <t>Oval 1329</t>
  </si>
  <si>
    <t>ScheduleシートにShapeObject Namesが入力されていないとPlot Scheduleでエラーになる。</t>
    <rPh sb="30" eb="32">
      <t>ニュウリョク</t>
    </rPh>
    <phoneticPr fontId="1"/>
  </si>
  <si>
    <t>エラーハンドリング</t>
    <phoneticPr fontId="1"/>
  </si>
  <si>
    <t>床掃除ロボット実行</t>
    <phoneticPr fontId="1"/>
  </si>
  <si>
    <t>洗濯物A</t>
    <phoneticPr fontId="1"/>
  </si>
  <si>
    <t>Oval 1285</t>
    <phoneticPr fontId="1"/>
  </si>
  <si>
    <t>Oval 5</t>
  </si>
  <si>
    <t>Start Offset</t>
    <phoneticPr fontId="1"/>
  </si>
  <si>
    <t>8,9</t>
    <phoneticPr fontId="1"/>
  </si>
  <si>
    <t>床のモノを片付ける_訂正</t>
    <phoneticPr fontId="1"/>
  </si>
  <si>
    <t>洗濯物B</t>
    <phoneticPr fontId="1"/>
  </si>
  <si>
    <t>6,7</t>
    <phoneticPr fontId="1"/>
  </si>
  <si>
    <t>洗濯物Aを干す</t>
    <phoneticPr fontId="1"/>
  </si>
  <si>
    <t>消耗品発注</t>
    <phoneticPr fontId="1"/>
  </si>
  <si>
    <t>9,10,11</t>
    <phoneticPr fontId="1"/>
  </si>
  <si>
    <t>トイレ掃除</t>
    <phoneticPr fontId="1"/>
  </si>
  <si>
    <t>風呂掃除</t>
    <phoneticPr fontId="1"/>
  </si>
  <si>
    <t>Oval 1275</t>
    <phoneticPr fontId="1"/>
  </si>
  <si>
    <t>特定タスクで特定曜日待ち機能の実装</t>
    <rPh sb="0" eb="2">
      <t>トクテイ</t>
    </rPh>
    <rPh sb="6" eb="8">
      <t>トクテイ</t>
    </rPh>
    <rPh sb="8" eb="10">
      <t>ヨウビ</t>
    </rPh>
    <rPh sb="10" eb="11">
      <t>マ</t>
    </rPh>
    <rPh sb="12" eb="14">
      <t>キノウ</t>
    </rPh>
    <rPh sb="15" eb="17">
      <t>ジッソウ</t>
    </rPh>
    <phoneticPr fontId="1"/>
  </si>
  <si>
    <t>スケジュールシートにWait for day of the week列を作成して1～7を指定し、それを読み取るようにする。</t>
    <rPh sb="34" eb="35">
      <t>レツ</t>
    </rPh>
    <rPh sb="36" eb="38">
      <t>サクセイ</t>
    </rPh>
    <rPh sb="44" eb="46">
      <t>シテイ</t>
    </rPh>
    <rPh sb="51" eb="52">
      <t>ヨ</t>
    </rPh>
    <rPh sb="53" eb="54">
      <t>ト</t>
    </rPh>
    <phoneticPr fontId="1"/>
  </si>
  <si>
    <t>Done</t>
    <phoneticPr fontId="1"/>
  </si>
  <si>
    <t>Wait for day of the week</t>
    <phoneticPr fontId="1"/>
  </si>
  <si>
    <t>TEST</t>
    <phoneticPr fontId="1"/>
  </si>
  <si>
    <t>TESTTASK</t>
    <phoneticPr fontId="1"/>
  </si>
  <si>
    <t>換気</t>
    <phoneticPr fontId="1"/>
  </si>
  <si>
    <t>START</t>
    <phoneticPr fontId="1"/>
  </si>
  <si>
    <t>衣類の在庫確認</t>
    <phoneticPr fontId="1"/>
  </si>
  <si>
    <t>ゴミ捨て</t>
    <phoneticPr fontId="1"/>
  </si>
  <si>
    <t>1,2</t>
    <phoneticPr fontId="1"/>
  </si>
  <si>
    <t>4,5</t>
    <phoneticPr fontId="1"/>
  </si>
  <si>
    <t>木曜日を待つ</t>
    <phoneticPr fontId="1"/>
  </si>
  <si>
    <t>消耗品チェック</t>
    <phoneticPr fontId="1"/>
  </si>
  <si>
    <t>END</t>
    <phoneticPr fontId="1"/>
  </si>
  <si>
    <t>13,15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</si>
</sst>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\ \(aaa\)"/>
  </numFmts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2" borderId="0" xfId="0" applyFill="1" applyBorder="1">
      <alignment vertical="center"/>
    </xf>
    <xf numFmtId="0" fontId="0" fillId="2" borderId="1" xfId="0" applyFill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vertical="center" wrapText="1"/>
    </xf>
    <xf numFmtId="0" fontId="0" fillId="0" borderId="0" xfId="0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755650</xdr:colOff>
      <xdr:row>19</xdr:row>
      <xdr:rowOff>130175</xdr:rowOff>
    </xdr:from>
    <xdr:to>
      <xdr:col>0</xdr:col>
      <xdr:colOff>1517650</xdr:colOff>
      <xdr:row>24</xdr:row>
      <xdr:rowOff>34925</xdr:rowOff>
    </xdr:to>
    <xdr:sp macro="" textlink="">
      <xdr:nvSpPr>
        <xdr:cNvPr id="1276" name="円/楕円 1275"/>
        <xdr:cNvSpPr/>
      </xdr:nvSpPr>
      <xdr:spPr>
        <a:xfrm>
          <a:off x="755650" y="35306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1882775</xdr:colOff>
      <xdr:row>11</xdr:row>
      <xdr:rowOff>34925</xdr:rowOff>
    </xdr:from>
    <xdr:to>
      <xdr:col>1</xdr:col>
      <xdr:colOff>711200</xdr:colOff>
      <xdr:row>15</xdr:row>
      <xdr:rowOff>111125</xdr:rowOff>
    </xdr:to>
    <xdr:sp macro="" textlink="">
      <xdr:nvSpPr>
        <xdr:cNvPr id="1277" name="円/楕円 1276"/>
        <xdr:cNvSpPr/>
      </xdr:nvSpPr>
      <xdr:spPr>
        <a:xfrm>
          <a:off x="1882775" y="20637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en-US" altLang="ja-JP" sz="1100">
              <a:solidFill>
                <a:srgbClr val="000000"/>
              </a:solidFill>
            </a:rPr>
            <a:t>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1882775</xdr:colOff>
      <xdr:row>17</xdr:row>
      <xdr:rowOff>22225</xdr:rowOff>
    </xdr:from>
    <xdr:to>
      <xdr:col>1</xdr:col>
      <xdr:colOff>711200</xdr:colOff>
      <xdr:row>21</xdr:row>
      <xdr:rowOff>98425</xdr:rowOff>
    </xdr:to>
    <xdr:sp macro="" textlink="">
      <xdr:nvSpPr>
        <xdr:cNvPr id="1278" name="円/楕円 1277"/>
        <xdr:cNvSpPr/>
      </xdr:nvSpPr>
      <xdr:spPr>
        <a:xfrm>
          <a:off x="1882775" y="30797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衣類の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在庫確認</a:t>
          </a:r>
        </a:p>
      </xdr:txBody>
    </xdr:sp>
    <xdr:clientData/>
  </xdr:twoCellAnchor>
  <xdr:twoCellAnchor>
    <xdr:from>
      <xdr:col>0</xdr:col>
      <xdr:colOff>1882775</xdr:colOff>
      <xdr:row>23</xdr:row>
      <xdr:rowOff>9525</xdr:rowOff>
    </xdr:from>
    <xdr:to>
      <xdr:col>1</xdr:col>
      <xdr:colOff>711200</xdr:colOff>
      <xdr:row>27</xdr:row>
      <xdr:rowOff>85725</xdr:rowOff>
    </xdr:to>
    <xdr:sp macro="" textlink="">
      <xdr:nvSpPr>
        <xdr:cNvPr id="1279" name="円/楕円 1278"/>
        <xdr:cNvSpPr/>
      </xdr:nvSpPr>
      <xdr:spPr>
        <a:xfrm>
          <a:off x="1882775" y="40957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床のモ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ノを片付け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る</a:t>
          </a:r>
          <a:r>
            <a:rPr kumimoji="1" lang="en-US" altLang="ja-JP" sz="1100">
              <a:solidFill>
                <a:srgbClr val="000000"/>
              </a:solidFill>
            </a:rPr>
            <a:t>_</a:t>
          </a:r>
          <a:r>
            <a:rPr kumimoji="1" lang="ja-JP" altLang="en-US" sz="1100">
              <a:solidFill>
                <a:srgbClr val="000000"/>
              </a:solidFill>
            </a:rPr>
            <a:t>訂正</a:t>
          </a:r>
        </a:p>
      </xdr:txBody>
    </xdr:sp>
    <xdr:clientData/>
  </xdr:twoCellAnchor>
  <xdr:twoCellAnchor>
    <xdr:from>
      <xdr:col>0</xdr:col>
      <xdr:colOff>1825625</xdr:colOff>
      <xdr:row>28</xdr:row>
      <xdr:rowOff>73025</xdr:rowOff>
    </xdr:from>
    <xdr:to>
      <xdr:col>1</xdr:col>
      <xdr:colOff>654050</xdr:colOff>
      <xdr:row>32</xdr:row>
      <xdr:rowOff>149225</xdr:rowOff>
    </xdr:to>
    <xdr:sp macro="" textlink="">
      <xdr:nvSpPr>
        <xdr:cNvPr id="1280" name="円/楕円 1279"/>
        <xdr:cNvSpPr/>
      </xdr:nvSpPr>
      <xdr:spPr>
        <a:xfrm>
          <a:off x="1825625" y="50165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5.</a:t>
          </a:r>
          <a:r>
            <a:rPr kumimoji="1" lang="ja-JP" altLang="en-US" sz="1100">
              <a:solidFill>
                <a:srgbClr val="000000"/>
              </a:solidFill>
            </a:rPr>
            <a:t>床掃除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ロボット実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行</a:t>
          </a:r>
        </a:p>
      </xdr:txBody>
    </xdr:sp>
    <xdr:clientData/>
  </xdr:twoCellAnchor>
  <xdr:twoCellAnchor>
    <xdr:from>
      <xdr:col>1</xdr:col>
      <xdr:colOff>1165225</xdr:colOff>
      <xdr:row>23</xdr:row>
      <xdr:rowOff>34925</xdr:rowOff>
    </xdr:from>
    <xdr:to>
      <xdr:col>2</xdr:col>
      <xdr:colOff>107950</xdr:colOff>
      <xdr:row>27</xdr:row>
      <xdr:rowOff>111125</xdr:rowOff>
    </xdr:to>
    <xdr:sp macro="" textlink="">
      <xdr:nvSpPr>
        <xdr:cNvPr id="1282" name="円/楕円 1281"/>
        <xdr:cNvSpPr/>
      </xdr:nvSpPr>
      <xdr:spPr>
        <a:xfrm>
          <a:off x="3098800" y="41211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6.TES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787400</xdr:colOff>
      <xdr:row>11</xdr:row>
      <xdr:rowOff>120650</xdr:rowOff>
    </xdr:from>
    <xdr:to>
      <xdr:col>2</xdr:col>
      <xdr:colOff>1549400</xdr:colOff>
      <xdr:row>16</xdr:row>
      <xdr:rowOff>25400</xdr:rowOff>
    </xdr:to>
    <xdr:sp macro="" textlink="">
      <xdr:nvSpPr>
        <xdr:cNvPr id="1283" name="円/楕円 1282"/>
        <xdr:cNvSpPr/>
      </xdr:nvSpPr>
      <xdr:spPr>
        <a:xfrm>
          <a:off x="4540250" y="214947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10.</a:t>
          </a:r>
          <a:r>
            <a:rPr kumimoji="1" lang="ja-JP" altLang="en-US" sz="1100">
              <a:solidFill>
                <a:srgbClr val="000000"/>
              </a:solidFill>
            </a:rPr>
            <a:t>木曜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日を待つ</a:t>
          </a:r>
        </a:p>
      </xdr:txBody>
    </xdr:sp>
    <xdr:clientData/>
  </xdr:twoCellAnchor>
  <xdr:twoCellAnchor>
    <xdr:from>
      <xdr:col>2</xdr:col>
      <xdr:colOff>733425</xdr:colOff>
      <xdr:row>20</xdr:row>
      <xdr:rowOff>34925</xdr:rowOff>
    </xdr:from>
    <xdr:to>
      <xdr:col>2</xdr:col>
      <xdr:colOff>1495425</xdr:colOff>
      <xdr:row>24</xdr:row>
      <xdr:rowOff>111125</xdr:rowOff>
    </xdr:to>
    <xdr:sp macro="" textlink="">
      <xdr:nvSpPr>
        <xdr:cNvPr id="1284" name="円/楕円 1283"/>
        <xdr:cNvSpPr/>
      </xdr:nvSpPr>
      <xdr:spPr>
        <a:xfrm>
          <a:off x="4486275" y="36068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9.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en-US" altLang="ja-JP" sz="1100">
              <a:solidFill>
                <a:srgbClr val="000000"/>
              </a:solidFill>
            </a:rPr>
            <a:t>A</a:t>
          </a:r>
          <a:r>
            <a:rPr kumimoji="1" lang="ja-JP" altLang="en-US" sz="1100">
              <a:solidFill>
                <a:srgbClr val="000000"/>
              </a:solidFill>
            </a:rPr>
            <a:t>を干す</a:t>
          </a:r>
        </a:p>
      </xdr:txBody>
    </xdr:sp>
    <xdr:clientData/>
  </xdr:twoCellAnchor>
  <xdr:twoCellAnchor>
    <xdr:from>
      <xdr:col>2</xdr:col>
      <xdr:colOff>669925</xdr:colOff>
      <xdr:row>28</xdr:row>
      <xdr:rowOff>120650</xdr:rowOff>
    </xdr:from>
    <xdr:to>
      <xdr:col>2</xdr:col>
      <xdr:colOff>1431925</xdr:colOff>
      <xdr:row>33</xdr:row>
      <xdr:rowOff>25400</xdr:rowOff>
    </xdr:to>
    <xdr:sp macro="" textlink="">
      <xdr:nvSpPr>
        <xdr:cNvPr id="1285" name="円/楕円 1284"/>
        <xdr:cNvSpPr/>
      </xdr:nvSpPr>
      <xdr:spPr>
        <a:xfrm>
          <a:off x="4422775" y="506412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8.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en-US" altLang="ja-JP" sz="1100">
              <a:solidFill>
                <a:srgbClr val="000000"/>
              </a:solidFill>
            </a:rPr>
            <a:t>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2587625</xdr:colOff>
      <xdr:row>17</xdr:row>
      <xdr:rowOff>130175</xdr:rowOff>
    </xdr:from>
    <xdr:to>
      <xdr:col>2</xdr:col>
      <xdr:colOff>3349625</xdr:colOff>
      <xdr:row>22</xdr:row>
      <xdr:rowOff>34925</xdr:rowOff>
    </xdr:to>
    <xdr:sp macro="" textlink="">
      <xdr:nvSpPr>
        <xdr:cNvPr id="1286" name="円/楕円 1285"/>
        <xdr:cNvSpPr/>
      </xdr:nvSpPr>
      <xdr:spPr>
        <a:xfrm>
          <a:off x="6340475" y="31877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12.</a:t>
          </a:r>
          <a:r>
            <a:rPr kumimoji="1" lang="ja-JP" altLang="en-US" sz="1100">
              <a:solidFill>
                <a:srgbClr val="000000"/>
              </a:solidFill>
            </a:rPr>
            <a:t>消耗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品チェック</a:t>
          </a:r>
        </a:p>
      </xdr:txBody>
    </xdr:sp>
    <xdr:clientData/>
  </xdr:twoCellAnchor>
  <xdr:twoCellAnchor>
    <xdr:from>
      <xdr:col>2</xdr:col>
      <xdr:colOff>1743075</xdr:colOff>
      <xdr:row>24</xdr:row>
      <xdr:rowOff>130175</xdr:rowOff>
    </xdr:from>
    <xdr:to>
      <xdr:col>2</xdr:col>
      <xdr:colOff>2505075</xdr:colOff>
      <xdr:row>29</xdr:row>
      <xdr:rowOff>34925</xdr:rowOff>
    </xdr:to>
    <xdr:sp macro="" textlink="">
      <xdr:nvSpPr>
        <xdr:cNvPr id="1287" name="円/楕円 1286"/>
        <xdr:cNvSpPr/>
      </xdr:nvSpPr>
      <xdr:spPr>
        <a:xfrm>
          <a:off x="5495925" y="43878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11.</a:t>
          </a:r>
          <a:r>
            <a:rPr kumimoji="1" lang="ja-JP" altLang="en-US" sz="1100">
              <a:solidFill>
                <a:srgbClr val="000000"/>
              </a:solidFill>
            </a:rPr>
            <a:t>消耗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品発注</a:t>
          </a:r>
        </a:p>
      </xdr:txBody>
    </xdr:sp>
    <xdr:clientData/>
  </xdr:twoCellAnchor>
  <xdr:twoCellAnchor>
    <xdr:from>
      <xdr:col>2</xdr:col>
      <xdr:colOff>3498850</xdr:colOff>
      <xdr:row>22</xdr:row>
      <xdr:rowOff>92075</xdr:rowOff>
    </xdr:from>
    <xdr:to>
      <xdr:col>3</xdr:col>
      <xdr:colOff>755650</xdr:colOff>
      <xdr:row>26</xdr:row>
      <xdr:rowOff>168275</xdr:rowOff>
    </xdr:to>
    <xdr:sp macro="" textlink="">
      <xdr:nvSpPr>
        <xdr:cNvPr id="1288" name="円/楕円 1287"/>
        <xdr:cNvSpPr/>
      </xdr:nvSpPr>
      <xdr:spPr>
        <a:xfrm>
          <a:off x="7251700" y="40068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14.</a:t>
          </a:r>
          <a:r>
            <a:rPr kumimoji="1" lang="ja-JP" altLang="en-US" sz="1100">
              <a:solidFill>
                <a:srgbClr val="000000"/>
              </a:solidFill>
            </a:rPr>
            <a:t>トイ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レ掃除</a:t>
          </a:r>
        </a:p>
      </xdr:txBody>
    </xdr:sp>
    <xdr:clientData/>
  </xdr:twoCellAnchor>
  <xdr:twoCellAnchor>
    <xdr:from>
      <xdr:col>3</xdr:col>
      <xdr:colOff>292100</xdr:colOff>
      <xdr:row>15</xdr:row>
      <xdr:rowOff>149225</xdr:rowOff>
    </xdr:from>
    <xdr:to>
      <xdr:col>3</xdr:col>
      <xdr:colOff>1054100</xdr:colOff>
      <xdr:row>20</xdr:row>
      <xdr:rowOff>53975</xdr:rowOff>
    </xdr:to>
    <xdr:sp macro="" textlink="">
      <xdr:nvSpPr>
        <xdr:cNvPr id="1289" name="円/楕円 1288"/>
        <xdr:cNvSpPr/>
      </xdr:nvSpPr>
      <xdr:spPr>
        <a:xfrm>
          <a:off x="7550150" y="28638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13.</a:t>
          </a:r>
          <a:r>
            <a:rPr kumimoji="1" lang="ja-JP" altLang="en-US" sz="1100">
              <a:solidFill>
                <a:srgbClr val="000000"/>
              </a:solidFill>
            </a:rPr>
            <a:t>換気</a:t>
          </a:r>
        </a:p>
      </xdr:txBody>
    </xdr:sp>
    <xdr:clientData/>
  </xdr:twoCellAnchor>
  <xdr:twoCellAnchor>
    <xdr:from>
      <xdr:col>3</xdr:col>
      <xdr:colOff>1333500</xdr:colOff>
      <xdr:row>24</xdr:row>
      <xdr:rowOff>15875</xdr:rowOff>
    </xdr:from>
    <xdr:to>
      <xdr:col>4</xdr:col>
      <xdr:colOff>323850</xdr:colOff>
      <xdr:row>28</xdr:row>
      <xdr:rowOff>92075</xdr:rowOff>
    </xdr:to>
    <xdr:sp macro="" textlink="">
      <xdr:nvSpPr>
        <xdr:cNvPr id="1290" name="円/楕円 1289"/>
        <xdr:cNvSpPr/>
      </xdr:nvSpPr>
      <xdr:spPr>
        <a:xfrm>
          <a:off x="8591550" y="42735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15.</a:t>
          </a:r>
          <a:r>
            <a:rPr kumimoji="1" lang="ja-JP" altLang="en-US" sz="1100">
              <a:solidFill>
                <a:srgbClr val="000000"/>
              </a:solidFill>
            </a:rPr>
            <a:t>風呂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掃除</a:t>
          </a:r>
        </a:p>
      </xdr:txBody>
    </xdr:sp>
    <xdr:clientData/>
  </xdr:twoCellAnchor>
  <xdr:twoCellAnchor>
    <xdr:from>
      <xdr:col>4</xdr:col>
      <xdr:colOff>520887</xdr:colOff>
      <xdr:row>18</xdr:row>
      <xdr:rowOff>168274</xdr:rowOff>
    </xdr:from>
    <xdr:to>
      <xdr:col>4</xdr:col>
      <xdr:colOff>1281767</xdr:colOff>
      <xdr:row>23</xdr:row>
      <xdr:rowOff>73024</xdr:rowOff>
    </xdr:to>
    <xdr:sp macro="" textlink="">
      <xdr:nvSpPr>
        <xdr:cNvPr id="1291" name="円/楕円 1290"/>
        <xdr:cNvSpPr/>
      </xdr:nvSpPr>
      <xdr:spPr>
        <a:xfrm>
          <a:off x="9550587" y="3397249"/>
          <a:ext cx="76088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16.EN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1517650</xdr:colOff>
      <xdr:row>13</xdr:row>
      <xdr:rowOff>73025</xdr:rowOff>
    </xdr:from>
    <xdr:to>
      <xdr:col>0</xdr:col>
      <xdr:colOff>1882775</xdr:colOff>
      <xdr:row>21</xdr:row>
      <xdr:rowOff>168275</xdr:rowOff>
    </xdr:to>
    <xdr:cxnSp macro="">
      <xdr:nvCxnSpPr>
        <xdr:cNvPr id="1293" name="直線矢印コネクタ 1292"/>
        <xdr:cNvCxnSpPr>
          <a:stCxn id="1276" idx="6"/>
          <a:endCxn id="1277" idx="2"/>
        </xdr:cNvCxnSpPr>
      </xdr:nvCxnSpPr>
      <xdr:spPr>
        <a:xfrm flipV="1">
          <a:off x="1517650" y="2444750"/>
          <a:ext cx="365125" cy="14668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1517650</xdr:colOff>
      <xdr:row>19</xdr:row>
      <xdr:rowOff>60325</xdr:rowOff>
    </xdr:from>
    <xdr:to>
      <xdr:col>0</xdr:col>
      <xdr:colOff>1882775</xdr:colOff>
      <xdr:row>21</xdr:row>
      <xdr:rowOff>168275</xdr:rowOff>
    </xdr:to>
    <xdr:cxnSp macro="">
      <xdr:nvCxnSpPr>
        <xdr:cNvPr id="1294" name="直線矢印コネクタ 1293"/>
        <xdr:cNvCxnSpPr>
          <a:stCxn id="1276" idx="6"/>
          <a:endCxn id="1278" idx="2"/>
        </xdr:cNvCxnSpPr>
      </xdr:nvCxnSpPr>
      <xdr:spPr>
        <a:xfrm flipV="1">
          <a:off x="1517650" y="3460750"/>
          <a:ext cx="365125" cy="4508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1517650</xdr:colOff>
      <xdr:row>21</xdr:row>
      <xdr:rowOff>168275</xdr:rowOff>
    </xdr:from>
    <xdr:to>
      <xdr:col>0</xdr:col>
      <xdr:colOff>1882775</xdr:colOff>
      <xdr:row>25</xdr:row>
      <xdr:rowOff>47625</xdr:rowOff>
    </xdr:to>
    <xdr:cxnSp macro="">
      <xdr:nvCxnSpPr>
        <xdr:cNvPr id="1295" name="直線矢印コネクタ 1294"/>
        <xdr:cNvCxnSpPr>
          <a:stCxn id="1276" idx="6"/>
          <a:endCxn id="1279" idx="2"/>
        </xdr:cNvCxnSpPr>
      </xdr:nvCxnSpPr>
      <xdr:spPr>
        <a:xfrm>
          <a:off x="1517650" y="3911600"/>
          <a:ext cx="365125" cy="5651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1517650</xdr:colOff>
      <xdr:row>21</xdr:row>
      <xdr:rowOff>168275</xdr:rowOff>
    </xdr:from>
    <xdr:to>
      <xdr:col>0</xdr:col>
      <xdr:colOff>1825625</xdr:colOff>
      <xdr:row>30</xdr:row>
      <xdr:rowOff>111125</xdr:rowOff>
    </xdr:to>
    <xdr:cxnSp macro="">
      <xdr:nvCxnSpPr>
        <xdr:cNvPr id="1296" name="直線矢印コネクタ 1295"/>
        <xdr:cNvCxnSpPr>
          <a:stCxn id="1276" idx="6"/>
          <a:endCxn id="1280" idx="2"/>
        </xdr:cNvCxnSpPr>
      </xdr:nvCxnSpPr>
      <xdr:spPr>
        <a:xfrm>
          <a:off x="1517650" y="3911600"/>
          <a:ext cx="307975" cy="14859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654050</xdr:colOff>
      <xdr:row>25</xdr:row>
      <xdr:rowOff>73025</xdr:rowOff>
    </xdr:from>
    <xdr:to>
      <xdr:col>1</xdr:col>
      <xdr:colOff>1165225</xdr:colOff>
      <xdr:row>30</xdr:row>
      <xdr:rowOff>111125</xdr:rowOff>
    </xdr:to>
    <xdr:cxnSp macro="">
      <xdr:nvCxnSpPr>
        <xdr:cNvPr id="1299" name="直線矢印コネクタ 1298"/>
        <xdr:cNvCxnSpPr>
          <a:stCxn id="1280" idx="6"/>
          <a:endCxn id="1282" idx="2"/>
        </xdr:cNvCxnSpPr>
      </xdr:nvCxnSpPr>
      <xdr:spPr>
        <a:xfrm flipV="1">
          <a:off x="2587625" y="4502150"/>
          <a:ext cx="511175" cy="8953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711200</xdr:colOff>
      <xdr:row>25</xdr:row>
      <xdr:rowOff>47625</xdr:rowOff>
    </xdr:from>
    <xdr:to>
      <xdr:col>1</xdr:col>
      <xdr:colOff>1165225</xdr:colOff>
      <xdr:row>25</xdr:row>
      <xdr:rowOff>73025</xdr:rowOff>
    </xdr:to>
    <xdr:cxnSp macro="">
      <xdr:nvCxnSpPr>
        <xdr:cNvPr id="1300" name="直線矢印コネクタ 1299"/>
        <xdr:cNvCxnSpPr>
          <a:stCxn id="1279" idx="6"/>
          <a:endCxn id="1282" idx="2"/>
        </xdr:cNvCxnSpPr>
      </xdr:nvCxnSpPr>
      <xdr:spPr>
        <a:xfrm>
          <a:off x="2644775" y="4476750"/>
          <a:ext cx="454025" cy="254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107950</xdr:colOff>
      <xdr:row>22</xdr:row>
      <xdr:rowOff>73025</xdr:rowOff>
    </xdr:from>
    <xdr:to>
      <xdr:col>2</xdr:col>
      <xdr:colOff>733425</xdr:colOff>
      <xdr:row>25</xdr:row>
      <xdr:rowOff>73025</xdr:rowOff>
    </xdr:to>
    <xdr:cxnSp macro="">
      <xdr:nvCxnSpPr>
        <xdr:cNvPr id="1303" name="直線矢印コネクタ 1302"/>
        <xdr:cNvCxnSpPr>
          <a:stCxn id="1282" idx="6"/>
          <a:endCxn id="1284" idx="2"/>
        </xdr:cNvCxnSpPr>
      </xdr:nvCxnSpPr>
      <xdr:spPr>
        <a:xfrm flipV="1">
          <a:off x="3860800" y="3987800"/>
          <a:ext cx="625475" cy="5143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107950</xdr:colOff>
      <xdr:row>25</xdr:row>
      <xdr:rowOff>73025</xdr:rowOff>
    </xdr:from>
    <xdr:to>
      <xdr:col>2</xdr:col>
      <xdr:colOff>669925</xdr:colOff>
      <xdr:row>30</xdr:row>
      <xdr:rowOff>158750</xdr:rowOff>
    </xdr:to>
    <xdr:cxnSp macro="">
      <xdr:nvCxnSpPr>
        <xdr:cNvPr id="1304" name="直線矢印コネクタ 1303"/>
        <xdr:cNvCxnSpPr>
          <a:stCxn id="1282" idx="6"/>
          <a:endCxn id="1285" idx="2"/>
        </xdr:cNvCxnSpPr>
      </xdr:nvCxnSpPr>
      <xdr:spPr>
        <a:xfrm>
          <a:off x="3860800" y="4502150"/>
          <a:ext cx="561975" cy="9429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1549400</xdr:colOff>
      <xdr:row>13</xdr:row>
      <xdr:rowOff>158750</xdr:rowOff>
    </xdr:from>
    <xdr:to>
      <xdr:col>2</xdr:col>
      <xdr:colOff>2587625</xdr:colOff>
      <xdr:row>19</xdr:row>
      <xdr:rowOff>168275</xdr:rowOff>
    </xdr:to>
    <xdr:cxnSp macro="">
      <xdr:nvCxnSpPr>
        <xdr:cNvPr id="1305" name="直線矢印コネクタ 1304"/>
        <xdr:cNvCxnSpPr>
          <a:stCxn id="1283" idx="6"/>
          <a:endCxn id="1286" idx="2"/>
        </xdr:cNvCxnSpPr>
      </xdr:nvCxnSpPr>
      <xdr:spPr>
        <a:xfrm>
          <a:off x="5302250" y="2530475"/>
          <a:ext cx="1038225" cy="10382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1495425</xdr:colOff>
      <xdr:row>19</xdr:row>
      <xdr:rowOff>168275</xdr:rowOff>
    </xdr:from>
    <xdr:to>
      <xdr:col>2</xdr:col>
      <xdr:colOff>2587625</xdr:colOff>
      <xdr:row>22</xdr:row>
      <xdr:rowOff>73025</xdr:rowOff>
    </xdr:to>
    <xdr:cxnSp macro="">
      <xdr:nvCxnSpPr>
        <xdr:cNvPr id="1306" name="直線矢印コネクタ 1305"/>
        <xdr:cNvCxnSpPr>
          <a:stCxn id="1284" idx="6"/>
          <a:endCxn id="1286" idx="2"/>
        </xdr:cNvCxnSpPr>
      </xdr:nvCxnSpPr>
      <xdr:spPr>
        <a:xfrm flipV="1">
          <a:off x="5248275" y="3568700"/>
          <a:ext cx="1092200" cy="4191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1495425</xdr:colOff>
      <xdr:row>22</xdr:row>
      <xdr:rowOff>73025</xdr:rowOff>
    </xdr:from>
    <xdr:to>
      <xdr:col>2</xdr:col>
      <xdr:colOff>1743075</xdr:colOff>
      <xdr:row>26</xdr:row>
      <xdr:rowOff>168275</xdr:rowOff>
    </xdr:to>
    <xdr:cxnSp macro="">
      <xdr:nvCxnSpPr>
        <xdr:cNvPr id="1307" name="直線矢印コネクタ 1306"/>
        <xdr:cNvCxnSpPr>
          <a:stCxn id="1284" idx="6"/>
          <a:endCxn id="1287" idx="2"/>
        </xdr:cNvCxnSpPr>
      </xdr:nvCxnSpPr>
      <xdr:spPr>
        <a:xfrm>
          <a:off x="5248275" y="3987800"/>
          <a:ext cx="247650" cy="7810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1431925</xdr:colOff>
      <xdr:row>26</xdr:row>
      <xdr:rowOff>168275</xdr:rowOff>
    </xdr:from>
    <xdr:to>
      <xdr:col>2</xdr:col>
      <xdr:colOff>1743075</xdr:colOff>
      <xdr:row>30</xdr:row>
      <xdr:rowOff>158750</xdr:rowOff>
    </xdr:to>
    <xdr:cxnSp macro="">
      <xdr:nvCxnSpPr>
        <xdr:cNvPr id="1308" name="直線矢印コネクタ 1307"/>
        <xdr:cNvCxnSpPr>
          <a:stCxn id="1285" idx="6"/>
          <a:endCxn id="1287" idx="2"/>
        </xdr:cNvCxnSpPr>
      </xdr:nvCxnSpPr>
      <xdr:spPr>
        <a:xfrm flipV="1">
          <a:off x="5184775" y="4768850"/>
          <a:ext cx="311150" cy="6762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3349625</xdr:colOff>
      <xdr:row>19</xdr:row>
      <xdr:rowOff>168275</xdr:rowOff>
    </xdr:from>
    <xdr:to>
      <xdr:col>2</xdr:col>
      <xdr:colOff>3498850</xdr:colOff>
      <xdr:row>24</xdr:row>
      <xdr:rowOff>130175</xdr:rowOff>
    </xdr:to>
    <xdr:cxnSp macro="">
      <xdr:nvCxnSpPr>
        <xdr:cNvPr id="1310" name="直線矢印コネクタ 1309"/>
        <xdr:cNvCxnSpPr>
          <a:stCxn id="1286" idx="6"/>
          <a:endCxn id="1288" idx="2"/>
        </xdr:cNvCxnSpPr>
      </xdr:nvCxnSpPr>
      <xdr:spPr>
        <a:xfrm>
          <a:off x="7102475" y="3568700"/>
          <a:ext cx="149225" cy="8191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2505075</xdr:colOff>
      <xdr:row>19</xdr:row>
      <xdr:rowOff>168275</xdr:rowOff>
    </xdr:from>
    <xdr:to>
      <xdr:col>2</xdr:col>
      <xdr:colOff>2587625</xdr:colOff>
      <xdr:row>26</xdr:row>
      <xdr:rowOff>168275</xdr:rowOff>
    </xdr:to>
    <xdr:cxnSp macro="">
      <xdr:nvCxnSpPr>
        <xdr:cNvPr id="1311" name="直線矢印コネクタ 1310"/>
        <xdr:cNvCxnSpPr>
          <a:stCxn id="1287" idx="6"/>
          <a:endCxn id="1286" idx="2"/>
        </xdr:cNvCxnSpPr>
      </xdr:nvCxnSpPr>
      <xdr:spPr>
        <a:xfrm flipV="1">
          <a:off x="6257925" y="3568700"/>
          <a:ext cx="82550" cy="12001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3349625</xdr:colOff>
      <xdr:row>18</xdr:row>
      <xdr:rowOff>15875</xdr:rowOff>
    </xdr:from>
    <xdr:to>
      <xdr:col>3</xdr:col>
      <xdr:colOff>292100</xdr:colOff>
      <xdr:row>19</xdr:row>
      <xdr:rowOff>168275</xdr:rowOff>
    </xdr:to>
    <xdr:cxnSp macro="">
      <xdr:nvCxnSpPr>
        <xdr:cNvPr id="1320" name="直線矢印コネクタ 1319"/>
        <xdr:cNvCxnSpPr>
          <a:stCxn id="1286" idx="6"/>
          <a:endCxn id="1289" idx="2"/>
        </xdr:cNvCxnSpPr>
      </xdr:nvCxnSpPr>
      <xdr:spPr>
        <a:xfrm flipV="1">
          <a:off x="7102475" y="3244850"/>
          <a:ext cx="447675" cy="3238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1054100</xdr:colOff>
      <xdr:row>18</xdr:row>
      <xdr:rowOff>15875</xdr:rowOff>
    </xdr:from>
    <xdr:to>
      <xdr:col>4</xdr:col>
      <xdr:colOff>520887</xdr:colOff>
      <xdr:row>21</xdr:row>
      <xdr:rowOff>34924</xdr:rowOff>
    </xdr:to>
    <xdr:cxnSp macro="">
      <xdr:nvCxnSpPr>
        <xdr:cNvPr id="1321" name="直線矢印コネクタ 1320"/>
        <xdr:cNvCxnSpPr>
          <a:stCxn id="1289" idx="6"/>
          <a:endCxn id="1291" idx="2"/>
        </xdr:cNvCxnSpPr>
      </xdr:nvCxnSpPr>
      <xdr:spPr>
        <a:xfrm>
          <a:off x="8312150" y="3244850"/>
          <a:ext cx="1238437" cy="53339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755650</xdr:colOff>
      <xdr:row>24</xdr:row>
      <xdr:rowOff>130175</xdr:rowOff>
    </xdr:from>
    <xdr:to>
      <xdr:col>3</xdr:col>
      <xdr:colOff>1333500</xdr:colOff>
      <xdr:row>26</xdr:row>
      <xdr:rowOff>53975</xdr:rowOff>
    </xdr:to>
    <xdr:cxnSp macro="">
      <xdr:nvCxnSpPr>
        <xdr:cNvPr id="1322" name="直線矢印コネクタ 1321"/>
        <xdr:cNvCxnSpPr>
          <a:stCxn id="1288" idx="6"/>
          <a:endCxn id="1290" idx="2"/>
        </xdr:cNvCxnSpPr>
      </xdr:nvCxnSpPr>
      <xdr:spPr>
        <a:xfrm>
          <a:off x="8013700" y="4387850"/>
          <a:ext cx="577850" cy="2667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323850</xdr:colOff>
      <xdr:row>21</xdr:row>
      <xdr:rowOff>34924</xdr:rowOff>
    </xdr:from>
    <xdr:to>
      <xdr:col>4</xdr:col>
      <xdr:colOff>520887</xdr:colOff>
      <xdr:row>26</xdr:row>
      <xdr:rowOff>53975</xdr:rowOff>
    </xdr:to>
    <xdr:cxnSp macro="">
      <xdr:nvCxnSpPr>
        <xdr:cNvPr id="1323" name="直線矢印コネクタ 1322"/>
        <xdr:cNvCxnSpPr>
          <a:stCxn id="1290" idx="6"/>
          <a:endCxn id="1291" idx="2"/>
        </xdr:cNvCxnSpPr>
      </xdr:nvCxnSpPr>
      <xdr:spPr>
        <a:xfrm flipV="1">
          <a:off x="9353550" y="3778249"/>
          <a:ext cx="197037" cy="87630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1155700</xdr:colOff>
      <xdr:row>11</xdr:row>
      <xdr:rowOff>130175</xdr:rowOff>
    </xdr:from>
    <xdr:to>
      <xdr:col>2</xdr:col>
      <xdr:colOff>98425</xdr:colOff>
      <xdr:row>16</xdr:row>
      <xdr:rowOff>34925</xdr:rowOff>
    </xdr:to>
    <xdr:sp macro="" textlink="">
      <xdr:nvSpPr>
        <xdr:cNvPr id="1330" name="円/楕円 1329"/>
        <xdr:cNvSpPr/>
      </xdr:nvSpPr>
      <xdr:spPr>
        <a:xfrm>
          <a:off x="3089275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ゴミ捨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て</a:t>
          </a:r>
        </a:p>
      </xdr:txBody>
    </xdr:sp>
    <xdr:clientData/>
  </xdr:twoCellAnchor>
  <xdr:twoCellAnchor>
    <xdr:from>
      <xdr:col>1</xdr:col>
      <xdr:colOff>711200</xdr:colOff>
      <xdr:row>13</xdr:row>
      <xdr:rowOff>73025</xdr:rowOff>
    </xdr:from>
    <xdr:to>
      <xdr:col>1</xdr:col>
      <xdr:colOff>1155700</xdr:colOff>
      <xdr:row>13</xdr:row>
      <xdr:rowOff>168275</xdr:rowOff>
    </xdr:to>
    <xdr:cxnSp macro="">
      <xdr:nvCxnSpPr>
        <xdr:cNvPr id="1331" name="直線矢印コネクタ 1330"/>
        <xdr:cNvCxnSpPr>
          <a:stCxn id="1277" idx="6"/>
          <a:endCxn id="1330" idx="2"/>
        </xdr:cNvCxnSpPr>
      </xdr:nvCxnSpPr>
      <xdr:spPr>
        <a:xfrm>
          <a:off x="2644775" y="2444750"/>
          <a:ext cx="444500" cy="952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711200</xdr:colOff>
      <xdr:row>13</xdr:row>
      <xdr:rowOff>168275</xdr:rowOff>
    </xdr:from>
    <xdr:to>
      <xdr:col>1</xdr:col>
      <xdr:colOff>1155700</xdr:colOff>
      <xdr:row>19</xdr:row>
      <xdr:rowOff>60325</xdr:rowOff>
    </xdr:to>
    <xdr:cxnSp macro="">
      <xdr:nvCxnSpPr>
        <xdr:cNvPr id="1332" name="直線矢印コネクタ 1331"/>
        <xdr:cNvCxnSpPr>
          <a:stCxn id="1278" idx="6"/>
          <a:endCxn id="1330" idx="2"/>
        </xdr:cNvCxnSpPr>
      </xdr:nvCxnSpPr>
      <xdr:spPr>
        <a:xfrm flipV="1">
          <a:off x="2644775" y="2540000"/>
          <a:ext cx="444500" cy="9207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98425</xdr:colOff>
      <xdr:row>13</xdr:row>
      <xdr:rowOff>158750</xdr:rowOff>
    </xdr:from>
    <xdr:to>
      <xdr:col>2</xdr:col>
      <xdr:colOff>787400</xdr:colOff>
      <xdr:row>13</xdr:row>
      <xdr:rowOff>168275</xdr:rowOff>
    </xdr:to>
    <xdr:cxnSp macro="">
      <xdr:nvCxnSpPr>
        <xdr:cNvPr id="1333" name="直線矢印コネクタ 1332"/>
        <xdr:cNvCxnSpPr>
          <a:stCxn id="1330" idx="6"/>
          <a:endCxn id="1283" idx="2"/>
        </xdr:cNvCxnSpPr>
      </xdr:nvCxnSpPr>
      <xdr:spPr>
        <a:xfrm flipV="1">
          <a:off x="3851275" y="2530475"/>
          <a:ext cx="688975" cy="95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1155700</xdr:colOff>
      <xdr:row>33</xdr:row>
      <xdr:rowOff>15875</xdr:rowOff>
    </xdr:from>
    <xdr:to>
      <xdr:col>2</xdr:col>
      <xdr:colOff>98425</xdr:colOff>
      <xdr:row>37</xdr:row>
      <xdr:rowOff>92075</xdr:rowOff>
    </xdr:to>
    <xdr:sp macro="" textlink="">
      <xdr:nvSpPr>
        <xdr:cNvPr id="6" name="円/楕円 5"/>
        <xdr:cNvSpPr/>
      </xdr:nvSpPr>
      <xdr:spPr>
        <a:xfrm>
          <a:off x="3089275" y="58166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7.TES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TTASK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654050</xdr:colOff>
      <xdr:row>30</xdr:row>
      <xdr:rowOff>111125</xdr:rowOff>
    </xdr:from>
    <xdr:to>
      <xdr:col>1</xdr:col>
      <xdr:colOff>1155700</xdr:colOff>
      <xdr:row>35</xdr:row>
      <xdr:rowOff>53975</xdr:rowOff>
    </xdr:to>
    <xdr:cxnSp macro="">
      <xdr:nvCxnSpPr>
        <xdr:cNvPr id="7" name="直線矢印コネクタ 6"/>
        <xdr:cNvCxnSpPr>
          <a:stCxn id="1280" idx="6"/>
          <a:endCxn id="6" idx="2"/>
        </xdr:cNvCxnSpPr>
      </xdr:nvCxnSpPr>
      <xdr:spPr>
        <a:xfrm>
          <a:off x="2587625" y="5397500"/>
          <a:ext cx="501650" cy="8001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98425</xdr:colOff>
      <xdr:row>30</xdr:row>
      <xdr:rowOff>158750</xdr:rowOff>
    </xdr:from>
    <xdr:to>
      <xdr:col>2</xdr:col>
      <xdr:colOff>669925</xdr:colOff>
      <xdr:row>35</xdr:row>
      <xdr:rowOff>53975</xdr:rowOff>
    </xdr:to>
    <xdr:cxnSp macro="">
      <xdr:nvCxnSpPr>
        <xdr:cNvPr id="8" name="直線矢印コネクタ 7"/>
        <xdr:cNvCxnSpPr>
          <a:stCxn id="6" idx="6"/>
          <a:endCxn id="1285" idx="2"/>
        </xdr:cNvCxnSpPr>
      </xdr:nvCxnSpPr>
      <xdr:spPr>
        <a:xfrm flipV="1">
          <a:off x="3851275" y="5445125"/>
          <a:ext cx="571500" cy="7524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L25"/>
  <sheetViews>
    <sheetView tabSelected="1" workbookViewId="0"/>
  </sheetViews>
  <sheetFormatPr defaultRowHeight="13.5" x14ac:dyDescent="0.15"/>
  <cols>
    <col min="1" max="1" width="3.75" bestFit="1" customWidth="1"/>
    <col min="2" max="2" width="22.5" bestFit="1" customWidth="1"/>
    <col min="3" max="3" width="13.125" style="12" bestFit="1" customWidth="1"/>
    <col min="4" max="4" width="9.5" bestFit="1" customWidth="1"/>
    <col min="5" max="6" width="15.625" bestFit="1" customWidth="1"/>
    <col min="7" max="7" width="29.375" bestFit="1" customWidth="1"/>
    <col min="8" max="8" width="10.75" bestFit="1" customWidth="1"/>
    <col min="9" max="9" width="13.125" bestFit="1" customWidth="1"/>
    <col min="10" max="10" width="25.875" bestFit="1" customWidth="1"/>
    <col min="11" max="11" width="13.625" bestFit="1" customWidth="1"/>
    <col min="12" max="12" width="14.75" bestFit="1" customWidth="1"/>
  </cols>
  <sheetData>
    <row r="1" spans="1:12" s="8" customFormat="1" ht="42" x14ac:dyDescent="0.15">
      <c r="A1" s="7" t="s">
        <v>9</v>
      </c>
    </row>
    <row r="2" spans="1:12" x14ac:dyDescent="0.15">
      <c r="C2"/>
    </row>
    <row r="3" spans="1:12" x14ac:dyDescent="0.15">
      <c r="A3" s="1" t="s">
        <v>4</v>
      </c>
      <c r="B3" s="1" t="s">
        <v>5</v>
      </c>
      <c r="C3" s="1" t="s">
        <v>8</v>
      </c>
      <c r="D3" s="1" t="s">
        <v>10</v>
      </c>
      <c r="E3" s="1" t="s">
        <v>6</v>
      </c>
      <c r="F3" s="1" t="s">
        <v>7</v>
      </c>
      <c r="G3" s="1" t="s">
        <v>12</v>
      </c>
      <c r="H3" s="1" t="s">
        <v>37</v>
      </c>
      <c r="I3" s="1" t="s">
        <v>59</v>
      </c>
      <c r="J3" s="1" t="s">
        <v>73</v>
      </c>
    </row>
    <row r="4" spans="1:12" x14ac:dyDescent="0.15">
      <c r="A4">
        <v>0</v>
      </c>
      <c r="B4" t="s">
        <v>77</v>
      </c>
      <c r="D4">
        <v>3</v>
      </c>
      <c r="E4" s="14">
        <v>44346</v>
      </c>
      <c r="F4" s="14">
        <f>IF(ISBLANK(J4),WORKDAY(E4,D4,Holidays!A:A),E4+7-WEEKDAY(E4+7-J4))</f>
        <v>44349</v>
      </c>
      <c r="G4" t="s">
        <v>69</v>
      </c>
      <c r="H4" t="s">
        <v>43</v>
      </c>
      <c r="I4">
        <v>1</v>
      </c>
      <c r="J4" s="13"/>
      <c r="K4" s="14"/>
      <c r="L4" s="14"/>
    </row>
    <row r="5" spans="1:12" x14ac:dyDescent="0.15">
      <c r="A5">
        <v>1</v>
      </c>
      <c r="B5" t="s">
        <v>56</v>
      </c>
      <c r="C5" s="12">
        <v>0</v>
      </c>
      <c r="D5">
        <v>1</v>
      </c>
      <c r="E5" s="14">
        <f>WORKDAY(MAX(F4),I5,Holidays!A:A)</f>
        <v>44349</v>
      </c>
      <c r="F5" s="14">
        <f>IF(ISBLANK(J5),WORKDAY(E5,D5,Holidays!A:A),E5+7-WEEKDAY(E5+7-J5))</f>
        <v>44350</v>
      </c>
      <c r="G5" t="s">
        <v>24</v>
      </c>
      <c r="H5" t="s">
        <v>39</v>
      </c>
      <c r="I5">
        <v>0</v>
      </c>
      <c r="J5" s="13"/>
      <c r="K5" s="14"/>
      <c r="L5" s="14"/>
    </row>
    <row r="6" spans="1:12" x14ac:dyDescent="0.15">
      <c r="A6">
        <v>2</v>
      </c>
      <c r="B6" t="s">
        <v>78</v>
      </c>
      <c r="C6" s="12">
        <v>0</v>
      </c>
      <c r="D6">
        <v>2</v>
      </c>
      <c r="E6" s="14">
        <f>WORKDAY(MAX(F4),I6,Holidays!A:A)</f>
        <v>44349</v>
      </c>
      <c r="F6" s="14">
        <f>IF(ISBLANK(J6),WORKDAY(E6,D6,Holidays!A:A),E6+7-WEEKDAY(E6+7-J6))</f>
        <v>44351</v>
      </c>
      <c r="G6" t="s">
        <v>25</v>
      </c>
      <c r="H6" t="s">
        <v>38</v>
      </c>
      <c r="I6">
        <v>0</v>
      </c>
      <c r="J6" s="13"/>
      <c r="K6" s="14"/>
      <c r="L6" s="14"/>
    </row>
    <row r="7" spans="1:12" x14ac:dyDescent="0.15">
      <c r="A7">
        <v>3</v>
      </c>
      <c r="B7" t="s">
        <v>79</v>
      </c>
      <c r="C7" s="12" t="s">
        <v>80</v>
      </c>
      <c r="D7">
        <v>0</v>
      </c>
      <c r="E7" s="14">
        <f>WORKDAY(MAX(F5,F6),I7,Holidays!A:A)</f>
        <v>44351</v>
      </c>
      <c r="F7" s="14">
        <f>IF(ISBLANK(J7),WORKDAY(E7,D7,Holidays!A:A),E7+7-WEEKDAY(E7+7-J7))</f>
        <v>44351</v>
      </c>
      <c r="G7" t="s">
        <v>52</v>
      </c>
      <c r="H7" t="s">
        <v>42</v>
      </c>
      <c r="I7">
        <v>0</v>
      </c>
      <c r="J7" s="13"/>
      <c r="K7" s="14"/>
      <c r="L7" s="14"/>
    </row>
    <row r="8" spans="1:12" x14ac:dyDescent="0.15">
      <c r="A8">
        <v>4</v>
      </c>
      <c r="B8" t="s">
        <v>61</v>
      </c>
      <c r="C8" s="12">
        <v>0</v>
      </c>
      <c r="D8">
        <v>5</v>
      </c>
      <c r="E8" s="14">
        <f>WORKDAY(MAX(F4),I8,Holidays!A:A)</f>
        <v>44349</v>
      </c>
      <c r="F8" s="14">
        <f>IF(ISBLANK(J8),WORKDAY(E8,D8,Holidays!A:A),E8+7-WEEKDAY(E8+7-J8))</f>
        <v>44356</v>
      </c>
      <c r="G8" t="s">
        <v>26</v>
      </c>
      <c r="H8" t="s">
        <v>39</v>
      </c>
      <c r="I8">
        <v>0</v>
      </c>
      <c r="J8" s="13"/>
      <c r="K8" s="14"/>
      <c r="L8" s="14"/>
    </row>
    <row r="9" spans="1:12" x14ac:dyDescent="0.15">
      <c r="A9">
        <v>5</v>
      </c>
      <c r="B9" t="s">
        <v>55</v>
      </c>
      <c r="C9" s="12">
        <v>0</v>
      </c>
      <c r="D9">
        <v>1</v>
      </c>
      <c r="E9" s="14">
        <f>WORKDAY(MAX(F4),I9,Holidays!A:A)</f>
        <v>44350</v>
      </c>
      <c r="F9" s="14">
        <f>IF(ISBLANK(J9),WORKDAY(E9,D9,Holidays!A:A),E9+7-WEEKDAY(E9+7-J9))</f>
        <v>44351</v>
      </c>
      <c r="G9" t="s">
        <v>27</v>
      </c>
      <c r="H9" t="s">
        <v>40</v>
      </c>
      <c r="I9">
        <v>1</v>
      </c>
      <c r="J9" s="13"/>
      <c r="K9" s="14"/>
      <c r="L9" s="14"/>
    </row>
    <row r="10" spans="1:12" x14ac:dyDescent="0.15">
      <c r="A10">
        <v>6</v>
      </c>
      <c r="B10" t="s">
        <v>74</v>
      </c>
      <c r="C10" s="12" t="s">
        <v>81</v>
      </c>
      <c r="D10">
        <v>0</v>
      </c>
      <c r="E10" s="14">
        <f>WORKDAY(MAX(F8,F9),I10,Holidays!A:A)</f>
        <v>44357</v>
      </c>
      <c r="F10" s="14">
        <f>IF(ISBLANK(J10),WORKDAY(E10,D10,Holidays!A:A),E10+7-WEEKDAY(E10+7-J10))</f>
        <v>44357</v>
      </c>
      <c r="G10" t="s">
        <v>28</v>
      </c>
      <c r="H10" t="s">
        <v>40</v>
      </c>
      <c r="I10">
        <v>1</v>
      </c>
      <c r="J10" s="13"/>
      <c r="K10" s="14"/>
      <c r="L10" s="14"/>
    </row>
    <row r="11" spans="1:12" x14ac:dyDescent="0.15">
      <c r="A11">
        <v>7</v>
      </c>
      <c r="B11" t="s">
        <v>75</v>
      </c>
      <c r="C11" s="12">
        <v>5</v>
      </c>
      <c r="D11">
        <v>3</v>
      </c>
      <c r="E11" s="14">
        <f>WORKDAY(MAX(F9),I11,Holidays!A:A)</f>
        <v>44354</v>
      </c>
      <c r="F11" s="14">
        <f>IF(ISBLANK(J11),WORKDAY(E11,D11,Holidays!A:A),E11+7-WEEKDAY(E11+7-J11))</f>
        <v>44357</v>
      </c>
      <c r="G11" t="s">
        <v>58</v>
      </c>
      <c r="H11" t="s">
        <v>39</v>
      </c>
      <c r="I11">
        <v>1</v>
      </c>
      <c r="J11" s="13"/>
      <c r="K11" s="14"/>
      <c r="L11" s="14"/>
    </row>
    <row r="12" spans="1:12" x14ac:dyDescent="0.15">
      <c r="A12">
        <v>8</v>
      </c>
      <c r="B12" t="s">
        <v>62</v>
      </c>
      <c r="C12" s="12" t="s">
        <v>63</v>
      </c>
      <c r="D12">
        <v>1</v>
      </c>
      <c r="E12" s="14">
        <f>WORKDAY(MAX(F10,F11),I12,Holidays!A:A)</f>
        <v>44358</v>
      </c>
      <c r="F12" s="14">
        <f>IF(ISBLANK(J12),WORKDAY(E12,D12,Holidays!A:A),E12+7-WEEKDAY(E12+7-J12))</f>
        <v>44361</v>
      </c>
      <c r="G12" t="s">
        <v>31</v>
      </c>
      <c r="H12" t="s">
        <v>42</v>
      </c>
      <c r="I12">
        <v>1</v>
      </c>
      <c r="J12" s="13"/>
      <c r="K12" s="14"/>
      <c r="L12" s="14"/>
    </row>
    <row r="13" spans="1:12" x14ac:dyDescent="0.15">
      <c r="A13">
        <v>9</v>
      </c>
      <c r="B13" t="s">
        <v>64</v>
      </c>
      <c r="C13" s="12">
        <v>6</v>
      </c>
      <c r="D13">
        <v>5</v>
      </c>
      <c r="E13" s="14">
        <f>WORKDAY(MAX(F10),I13,Holidays!A:A)</f>
        <v>44358</v>
      </c>
      <c r="F13" s="14">
        <f>IF(ISBLANK(J13),WORKDAY(E13,D13,Holidays!A:A),E13+7-WEEKDAY(E13+7-J13))</f>
        <v>44365</v>
      </c>
      <c r="G13" t="s">
        <v>30</v>
      </c>
      <c r="H13" t="s">
        <v>41</v>
      </c>
      <c r="I13">
        <v>1</v>
      </c>
      <c r="J13" s="13"/>
      <c r="K13" s="14"/>
      <c r="L13" s="14"/>
    </row>
    <row r="14" spans="1:12" x14ac:dyDescent="0.15">
      <c r="A14">
        <v>10</v>
      </c>
      <c r="B14" t="s">
        <v>82</v>
      </c>
      <c r="C14" s="12">
        <v>3</v>
      </c>
      <c r="D14">
        <v>1</v>
      </c>
      <c r="E14" s="14">
        <f>WORKDAY(MAX(F7),I14,Holidays!A:A)</f>
        <v>44354</v>
      </c>
      <c r="F14" s="14">
        <f>IF(ISBLANK(J14),WORKDAY(E14,D14,Holidays!A:A),E14+7-WEEKDAY(E14+7-J14))</f>
        <v>44357</v>
      </c>
      <c r="G14" t="s">
        <v>29</v>
      </c>
      <c r="H14" t="s">
        <v>40</v>
      </c>
      <c r="I14">
        <v>1</v>
      </c>
      <c r="J14" s="13">
        <v>5</v>
      </c>
      <c r="K14" s="14"/>
      <c r="L14" s="14"/>
    </row>
    <row r="15" spans="1:12" x14ac:dyDescent="0.15">
      <c r="A15">
        <v>11</v>
      </c>
      <c r="B15" t="s">
        <v>65</v>
      </c>
      <c r="C15" s="12" t="s">
        <v>60</v>
      </c>
      <c r="D15">
        <v>4</v>
      </c>
      <c r="E15" s="14">
        <f>WORKDAY(MAX(F12,F13),I15,Holidays!A:A)</f>
        <v>44368</v>
      </c>
      <c r="F15" s="14">
        <f>IF(ISBLANK(J15),WORKDAY(E15,D15,Holidays!A:A),E15+7-WEEKDAY(E15+7-J15))</f>
        <v>44372</v>
      </c>
      <c r="G15" t="s">
        <v>32</v>
      </c>
      <c r="H15" t="s">
        <v>39</v>
      </c>
      <c r="I15">
        <v>1</v>
      </c>
      <c r="J15" s="13"/>
      <c r="K15" s="14"/>
      <c r="L15" s="14"/>
    </row>
    <row r="16" spans="1:12" x14ac:dyDescent="0.15">
      <c r="A16">
        <v>12</v>
      </c>
      <c r="B16" t="s">
        <v>83</v>
      </c>
      <c r="C16" s="12" t="s">
        <v>66</v>
      </c>
      <c r="D16">
        <v>2</v>
      </c>
      <c r="E16" s="14">
        <f>WORKDAY(MAX(F13,F14,F15),I16,Holidays!A:A)</f>
        <v>44372</v>
      </c>
      <c r="F16" s="14">
        <f>IF(ISBLANK(J16),WORKDAY(E16,D16,Holidays!A:A),E16+7-WEEKDAY(E16+7-J16))</f>
        <v>44376</v>
      </c>
      <c r="G16" t="s">
        <v>57</v>
      </c>
      <c r="H16" t="s">
        <v>40</v>
      </c>
      <c r="I16">
        <v>0</v>
      </c>
      <c r="J16" s="13"/>
      <c r="K16" s="14"/>
      <c r="L16" s="14"/>
    </row>
    <row r="17" spans="1:12" x14ac:dyDescent="0.15">
      <c r="A17">
        <v>13</v>
      </c>
      <c r="B17" t="s">
        <v>76</v>
      </c>
      <c r="C17" s="12">
        <v>12</v>
      </c>
      <c r="D17">
        <v>1</v>
      </c>
      <c r="E17" s="14">
        <f>WORKDAY(MAX(F16),I17,Holidays!A:A)</f>
        <v>44376</v>
      </c>
      <c r="F17" s="14">
        <f>IF(ISBLANK(J17),WORKDAY(E17,D17,Holidays!A:A),E17+7-WEEKDAY(E17+7-J17))</f>
        <v>44377</v>
      </c>
      <c r="G17" t="s">
        <v>34</v>
      </c>
      <c r="H17" t="s">
        <v>42</v>
      </c>
      <c r="I17">
        <v>0</v>
      </c>
      <c r="J17" s="13"/>
      <c r="K17" s="14"/>
      <c r="L17" s="14"/>
    </row>
    <row r="18" spans="1:12" x14ac:dyDescent="0.15">
      <c r="A18">
        <v>14</v>
      </c>
      <c r="B18" t="s">
        <v>67</v>
      </c>
      <c r="C18" s="12">
        <v>12</v>
      </c>
      <c r="D18">
        <v>1</v>
      </c>
      <c r="E18" s="14">
        <f>WORKDAY(MAX(F16),I18,Holidays!A:A)</f>
        <v>44376</v>
      </c>
      <c r="F18" s="14">
        <f>IF(ISBLANK(J18),WORKDAY(E18,D18,Holidays!A:A),E18+7-WEEKDAY(E18+7-J18))</f>
        <v>44377</v>
      </c>
      <c r="G18" t="s">
        <v>33</v>
      </c>
      <c r="H18" t="s">
        <v>44</v>
      </c>
      <c r="I18">
        <v>0</v>
      </c>
      <c r="J18" s="13"/>
      <c r="K18" s="14"/>
      <c r="L18" s="14"/>
    </row>
    <row r="19" spans="1:12" x14ac:dyDescent="0.15">
      <c r="A19">
        <v>15</v>
      </c>
      <c r="B19" t="s">
        <v>68</v>
      </c>
      <c r="C19" s="12">
        <v>14</v>
      </c>
      <c r="D19">
        <v>0</v>
      </c>
      <c r="E19" s="14">
        <f>WORKDAY(MAX(F18),I19,Holidays!A:A)</f>
        <v>44378</v>
      </c>
      <c r="F19" s="14">
        <f>IF(ISBLANK(J19),WORKDAY(E19,D19,Holidays!A:A),E19+7-WEEKDAY(E19+7-J19))</f>
        <v>44378</v>
      </c>
      <c r="G19" t="s">
        <v>35</v>
      </c>
      <c r="H19" t="s">
        <v>44</v>
      </c>
      <c r="I19">
        <v>1</v>
      </c>
      <c r="J19" s="13"/>
      <c r="K19" s="14"/>
      <c r="L19" s="14"/>
    </row>
    <row r="20" spans="1:12" x14ac:dyDescent="0.15">
      <c r="A20">
        <v>16</v>
      </c>
      <c r="B20" t="s">
        <v>84</v>
      </c>
      <c r="C20" s="12" t="s">
        <v>85</v>
      </c>
      <c r="D20">
        <v>4</v>
      </c>
      <c r="E20" s="14">
        <f>WORKDAY(MAX(F17,F19),I20,Holidays!A:A)</f>
        <v>44378</v>
      </c>
      <c r="F20" s="14">
        <f>IF(ISBLANK(J20),WORKDAY(E20,D20,Holidays!A:A),E20+7-WEEKDAY(E20+7-J20))</f>
        <v>44384</v>
      </c>
      <c r="G20" t="s">
        <v>36</v>
      </c>
      <c r="H20" t="s">
        <v>39</v>
      </c>
      <c r="I20">
        <v>0</v>
      </c>
      <c r="J20" s="13"/>
      <c r="K20" s="14"/>
      <c r="L20" s="14"/>
    </row>
    <row r="21" spans="1:12" x14ac:dyDescent="0.15">
      <c r="J21" s="13"/>
    </row>
    <row r="22" spans="1:12" x14ac:dyDescent="0.15">
      <c r="J22" s="13"/>
    </row>
    <row r="23" spans="1:12" x14ac:dyDescent="0.15">
      <c r="J23" s="13"/>
    </row>
    <row r="24" spans="1:12" x14ac:dyDescent="0.15">
      <c r="J24" s="13"/>
    </row>
    <row r="25" spans="1:12" x14ac:dyDescent="0.15">
      <c r="J25" s="13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Normal="100" workbookViewId="0">
      <pane ySplit="9" topLeftCell="A10" activePane="bottomLeft" state="frozen"/>
      <selection pane="bottomLeft" activeCell="A10" sqref="A10"/>
    </sheetView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2" customFormat="1" ht="24.75" customHeight="1" x14ac:dyDescent="0.15">
      <c r="A1" s="5" t="s">
        <v>0</v>
      </c>
      <c r="B1" s="5" t="s">
        <v>1</v>
      </c>
      <c r="C1" s="5" t="s">
        <v>2</v>
      </c>
      <c r="D1" s="5" t="s">
        <v>11</v>
      </c>
      <c r="E1" s="5" t="s">
        <v>3</v>
      </c>
      <c r="F1" s="3"/>
    </row>
    <row r="2" spans="1:6" s="2" customFormat="1" x14ac:dyDescent="0.15">
      <c r="A2" s="4"/>
      <c r="B2" s="4"/>
      <c r="C2" s="4"/>
      <c r="D2" s="4"/>
      <c r="E2" s="4"/>
      <c r="F2" s="3"/>
    </row>
    <row r="3" spans="1:6" s="2" customFormat="1" x14ac:dyDescent="0.15">
      <c r="A3" s="4"/>
      <c r="B3" s="4"/>
      <c r="C3" s="4"/>
      <c r="D3" s="4"/>
      <c r="E3" s="4"/>
      <c r="F3" s="3"/>
    </row>
    <row r="4" spans="1:6" s="2" customFormat="1" x14ac:dyDescent="0.15">
      <c r="A4" s="4"/>
      <c r="B4" s="4"/>
      <c r="C4" s="4"/>
      <c r="D4" s="4"/>
      <c r="E4" s="4"/>
      <c r="F4" s="3"/>
    </row>
    <row r="5" spans="1:6" s="2" customFormat="1" x14ac:dyDescent="0.15">
      <c r="A5" s="4"/>
      <c r="B5" s="4"/>
      <c r="C5" s="4"/>
      <c r="D5" s="4"/>
      <c r="E5" s="4"/>
      <c r="F5" s="3"/>
    </row>
    <row r="6" spans="1:6" s="2" customFormat="1" x14ac:dyDescent="0.15">
      <c r="A6" s="4"/>
      <c r="B6" s="4"/>
      <c r="C6" s="4"/>
      <c r="D6" s="4"/>
      <c r="E6" s="4"/>
      <c r="F6" s="3"/>
    </row>
    <row r="7" spans="1:6" s="2" customFormat="1" x14ac:dyDescent="0.15">
      <c r="A7" s="4"/>
      <c r="B7" s="4"/>
      <c r="C7" s="4"/>
      <c r="D7" s="4"/>
      <c r="E7" s="4"/>
      <c r="F7" s="3"/>
    </row>
    <row r="8" spans="1:6" s="2" customFormat="1" x14ac:dyDescent="0.15">
      <c r="A8" s="4"/>
      <c r="B8" s="4"/>
      <c r="C8" s="4"/>
      <c r="D8" s="4"/>
      <c r="E8" s="4"/>
      <c r="F8" s="3"/>
    </row>
    <row r="9" spans="1:6" s="2" customFormat="1" x14ac:dyDescent="0.15">
      <c r="A9" s="4"/>
      <c r="B9" s="4"/>
      <c r="C9" s="4"/>
      <c r="D9" s="4"/>
      <c r="E9" s="4"/>
      <c r="F9" s="3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6">
        <v>44319</v>
      </c>
    </row>
    <row r="2" spans="1:1" x14ac:dyDescent="0.15">
      <c r="A2" s="6">
        <v>44320</v>
      </c>
    </row>
    <row r="3" spans="1:1" x14ac:dyDescent="0.15">
      <c r="A3" s="6">
        <v>44321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8"/>
  <sheetViews>
    <sheetView workbookViewId="0"/>
  </sheetViews>
  <sheetFormatPr defaultRowHeight="13.5" x14ac:dyDescent="0.15"/>
  <cols>
    <col min="2" max="2" width="54.75" bestFit="1" customWidth="1"/>
    <col min="3" max="3" width="89.375" bestFit="1" customWidth="1"/>
  </cols>
  <sheetData>
    <row r="1" spans="1:4" x14ac:dyDescent="0.15">
      <c r="A1" s="1" t="s">
        <v>13</v>
      </c>
      <c r="B1" s="1" t="s">
        <v>14</v>
      </c>
      <c r="C1" s="1" t="s">
        <v>16</v>
      </c>
      <c r="D1" s="1" t="s">
        <v>19</v>
      </c>
    </row>
    <row r="2" spans="1:4" s="9" customFormat="1" ht="54" x14ac:dyDescent="0.15">
      <c r="A2" s="9">
        <v>1</v>
      </c>
      <c r="B2" s="9" t="s">
        <v>15</v>
      </c>
      <c r="C2" s="10" t="s">
        <v>17</v>
      </c>
      <c r="D2" s="9" t="s">
        <v>22</v>
      </c>
    </row>
    <row r="3" spans="1:4" s="9" customFormat="1" x14ac:dyDescent="0.15">
      <c r="A3" s="9">
        <v>2</v>
      </c>
      <c r="B3" s="9" t="s">
        <v>18</v>
      </c>
      <c r="C3" s="9" t="s">
        <v>20</v>
      </c>
      <c r="D3" s="9" t="s">
        <v>21</v>
      </c>
    </row>
    <row r="4" spans="1:4" s="9" customFormat="1" x14ac:dyDescent="0.15">
      <c r="A4" s="9">
        <v>3</v>
      </c>
      <c r="B4" s="9" t="s">
        <v>23</v>
      </c>
      <c r="C4" s="9" t="s">
        <v>45</v>
      </c>
      <c r="D4" s="9" t="s">
        <v>46</v>
      </c>
    </row>
    <row r="5" spans="1:4" s="9" customFormat="1" x14ac:dyDescent="0.15">
      <c r="A5" s="9">
        <v>4</v>
      </c>
      <c r="B5" s="9" t="s">
        <v>47</v>
      </c>
      <c r="C5" s="9" t="s">
        <v>48</v>
      </c>
      <c r="D5" s="9" t="s">
        <v>72</v>
      </c>
    </row>
    <row r="6" spans="1:4" s="9" customFormat="1" x14ac:dyDescent="0.15">
      <c r="A6" s="9">
        <v>5</v>
      </c>
      <c r="B6" s="9" t="s">
        <v>49</v>
      </c>
      <c r="C6" s="9" t="s">
        <v>50</v>
      </c>
      <c r="D6" s="9" t="s">
        <v>51</v>
      </c>
    </row>
    <row r="7" spans="1:4" x14ac:dyDescent="0.15">
      <c r="A7" s="11">
        <v>6</v>
      </c>
      <c r="B7" s="11" t="s">
        <v>53</v>
      </c>
      <c r="C7" s="11" t="s">
        <v>54</v>
      </c>
      <c r="D7" s="11"/>
    </row>
    <row r="8" spans="1:4" x14ac:dyDescent="0.15">
      <c r="A8" s="9">
        <v>7</v>
      </c>
      <c r="B8" s="9" t="s">
        <v>70</v>
      </c>
      <c r="C8" s="9" t="s">
        <v>71</v>
      </c>
      <c r="D8" s="9" t="s">
        <v>72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Schedule</vt:lpstr>
      <vt:lpstr>Draw</vt:lpstr>
      <vt:lpstr>Holidays</vt:lpstr>
      <vt:lpstr>Issue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2021-05-29T21:07:28Z</dcterms:modified>
</cp:coreProperties>
</file>