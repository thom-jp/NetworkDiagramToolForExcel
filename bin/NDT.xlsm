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Schedule" sheetId="3" r:id="rId1"/>
    <sheet name="Draw" sheetId="1" r:id="rId2"/>
    <sheet name="Holidays" sheetId="4" r:id="rId3"/>
  </sheets>
  <functionGroups builtInGroupCount="18"/>
  <definedNames>
    <definedName name="_xlnm._FilterDatabase" localSheetId="0" hidden="1">Schedule!$A$3:$J$11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3" l="1"/>
  <c r="F5" i="3" s="1"/>
  <c r="F4" i="3"/>
  <c r="E6" i="3" l="1"/>
  <c r="F6" i="3" s="1"/>
  <c r="E7" i="3" s="1"/>
  <c r="F7" i="3" s="1"/>
  <c r="E8" i="3" l="1"/>
  <c r="F8" i="3" s="1"/>
  <c r="E9" i="3" s="1"/>
  <c r="F9" i="3" s="1"/>
  <c r="E10" i="3" l="1"/>
  <c r="F10" i="3" s="1"/>
  <c r="E11" i="3" s="1"/>
  <c r="F11" i="3" s="1"/>
</calcChain>
</file>

<file path=xl/sharedStrings.xml><?xml version="1.0" encoding="utf-8"?>
<sst xmlns="http://schemas.openxmlformats.org/spreadsheetml/2006/main" count="37" uniqueCount="37">
  <si>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</si>
  <si>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</si>
  <si>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</si>
  <si>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</si>
  <si>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</si>
  <si>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</si>
  <si>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</si>
  <si>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</si>
  <si>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</si>
  <si>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</si>
  <si>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</si>
  <si>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</si>
  <si>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Assign To</t>
    <phoneticPr fontId="1"/>
  </si>
  <si>
    <t>Start Offset</t>
    <phoneticPr fontId="1"/>
  </si>
  <si>
    <t>Wait for day of the week</t>
    <phoneticPr fontId="1"/>
  </si>
  <si>
    <t>Shape Object Name</t>
    <phoneticPr fontId="1"/>
  </si>
  <si>
    <t>Oval 1073</t>
  </si>
  <si>
    <t>Oval 1074</t>
  </si>
  <si>
    <t>Oval 1075</t>
  </si>
  <si>
    <t>Oval 1076</t>
  </si>
  <si>
    <t>Oval 1077</t>
  </si>
  <si>
    <t>Oval 1078</t>
  </si>
  <si>
    <t>Oval 1080</t>
  </si>
  <si>
    <t>Oval 1088</t>
  </si>
  <si>
    <t>END</t>
    <phoneticPr fontId="1"/>
  </si>
  <si>
    <t>START</t>
    <phoneticPr fontId="1"/>
  </si>
  <si>
    <t>思いつくままにScheduleシートにタスクを追加</t>
    <phoneticPr fontId="1"/>
  </si>
  <si>
    <t>3,4</t>
    <phoneticPr fontId="1"/>
  </si>
  <si>
    <t>AAA</t>
    <phoneticPr fontId="1"/>
  </si>
  <si>
    <t>タスク同士をコネクトする</t>
    <phoneticPr fontId="1"/>
  </si>
  <si>
    <t>0,1</t>
    <phoneticPr fontId="1"/>
  </si>
  <si>
    <t>1,2</t>
    <phoneticPr fontId="1"/>
  </si>
  <si>
    <t>Drawシートでタスクをプロットして配置する</t>
    <phoneticPr fontId="1"/>
  </si>
  <si>
    <t>タスクのナンバリング</t>
    <phoneticPr fontId="1"/>
  </si>
  <si>
    <t>2,3</t>
    <phoneticPr fontId="1"/>
  </si>
  <si>
    <t>Scheduleシートにスケジュールをプロット</t>
    <phoneticPr fontId="1"/>
  </si>
  <si>
    <t>5,6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</si>
</sst>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\(aaa\)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831850</xdr:colOff>
      <xdr:row>11</xdr:row>
      <xdr:rowOff>139700</xdr:rowOff>
    </xdr:from>
    <xdr:to>
      <xdr:col>0</xdr:col>
      <xdr:colOff>1593850</xdr:colOff>
      <xdr:row>16</xdr:row>
      <xdr:rowOff>44450</xdr:rowOff>
    </xdr:to>
    <xdr:sp macro="" textlink="">
      <xdr:nvSpPr>
        <xdr:cNvPr id="1074" name="円/楕円 1073"/>
        <xdr:cNvSpPr/>
      </xdr:nvSpPr>
      <xdr:spPr>
        <a:xfrm>
          <a:off x="831850" y="21685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463550</xdr:colOff>
      <xdr:row>10</xdr:row>
      <xdr:rowOff>139700</xdr:rowOff>
    </xdr:from>
    <xdr:to>
      <xdr:col>1</xdr:col>
      <xdr:colOff>1225550</xdr:colOff>
      <xdr:row>15</xdr:row>
      <xdr:rowOff>44450</xdr:rowOff>
    </xdr:to>
    <xdr:sp macro="" textlink="">
      <xdr:nvSpPr>
        <xdr:cNvPr id="1075" name="円/楕円 1074"/>
        <xdr:cNvSpPr/>
      </xdr:nvSpPr>
      <xdr:spPr>
        <a:xfrm>
          <a:off x="2397125" y="199707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1.Dra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w</a:t>
          </a:r>
          <a:r>
            <a:rPr kumimoji="1" lang="ja-JP" altLang="en-US" sz="1100">
              <a:solidFill>
                <a:srgbClr val="000000"/>
              </a:solidFill>
            </a:rPr>
            <a:t>シートで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タスクをプ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ロットして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配置する</a:t>
          </a:r>
        </a:p>
      </xdr:txBody>
    </xdr:sp>
    <xdr:clientData/>
  </xdr:twoCellAnchor>
  <xdr:twoCellAnchor>
    <xdr:from>
      <xdr:col>1</xdr:col>
      <xdr:colOff>1285875</xdr:colOff>
      <xdr:row>17</xdr:row>
      <xdr:rowOff>34925</xdr:rowOff>
    </xdr:from>
    <xdr:to>
      <xdr:col>2</xdr:col>
      <xdr:colOff>228600</xdr:colOff>
      <xdr:row>21</xdr:row>
      <xdr:rowOff>111125</xdr:rowOff>
    </xdr:to>
    <xdr:sp macro="" textlink="">
      <xdr:nvSpPr>
        <xdr:cNvPr id="1076" name="円/楕円 1075"/>
        <xdr:cNvSpPr/>
      </xdr:nvSpPr>
      <xdr:spPr>
        <a:xfrm>
          <a:off x="3219450" y="30924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思いつく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ままに</a:t>
          </a:r>
          <a:r>
            <a:rPr kumimoji="1" lang="en-US" altLang="ja-JP" sz="1100">
              <a:solidFill>
                <a:srgbClr val="000000"/>
              </a:solidFill>
            </a:rPr>
            <a:t>Sch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edule</a:t>
          </a:r>
          <a:r>
            <a:rPr kumimoji="1" lang="ja-JP" altLang="en-US" sz="1100">
              <a:solidFill>
                <a:srgbClr val="000000"/>
              </a:solidFill>
            </a:rPr>
            <a:t>シ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ートにタスク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を追加</a:t>
          </a:r>
        </a:p>
      </xdr:txBody>
    </xdr:sp>
    <xdr:clientData/>
  </xdr:twoCellAnchor>
  <xdr:twoCellAnchor>
    <xdr:from>
      <xdr:col>2</xdr:col>
      <xdr:colOff>565150</xdr:colOff>
      <xdr:row>11</xdr:row>
      <xdr:rowOff>130175</xdr:rowOff>
    </xdr:from>
    <xdr:to>
      <xdr:col>2</xdr:col>
      <xdr:colOff>1327150</xdr:colOff>
      <xdr:row>16</xdr:row>
      <xdr:rowOff>34925</xdr:rowOff>
    </xdr:to>
    <xdr:sp macro="" textlink="">
      <xdr:nvSpPr>
        <xdr:cNvPr id="1077" name="円/楕円 1076"/>
        <xdr:cNvSpPr/>
      </xdr:nvSpPr>
      <xdr:spPr>
        <a:xfrm>
          <a:off x="431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同士をコネ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クトする</a:t>
          </a:r>
        </a:p>
      </xdr:txBody>
    </xdr:sp>
    <xdr:clientData/>
  </xdr:twoCellAnchor>
  <xdr:twoCellAnchor>
    <xdr:from>
      <xdr:col>2</xdr:col>
      <xdr:colOff>1482725</xdr:colOff>
      <xdr:row>17</xdr:row>
      <xdr:rowOff>92075</xdr:rowOff>
    </xdr:from>
    <xdr:to>
      <xdr:col>2</xdr:col>
      <xdr:colOff>2244725</xdr:colOff>
      <xdr:row>21</xdr:row>
      <xdr:rowOff>168275</xdr:rowOff>
    </xdr:to>
    <xdr:sp macro="" textlink="">
      <xdr:nvSpPr>
        <xdr:cNvPr id="1078" name="円/楕円 1077"/>
        <xdr:cNvSpPr/>
      </xdr:nvSpPr>
      <xdr:spPr>
        <a:xfrm>
          <a:off x="5235575" y="31496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のナンバリ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ング</a:t>
          </a:r>
        </a:p>
      </xdr:txBody>
    </xdr:sp>
    <xdr:clientData/>
  </xdr:twoCellAnchor>
  <xdr:twoCellAnchor>
    <xdr:from>
      <xdr:col>2</xdr:col>
      <xdr:colOff>2562225</xdr:colOff>
      <xdr:row>13</xdr:row>
      <xdr:rowOff>101600</xdr:rowOff>
    </xdr:from>
    <xdr:to>
      <xdr:col>2</xdr:col>
      <xdr:colOff>3324225</xdr:colOff>
      <xdr:row>18</xdr:row>
      <xdr:rowOff>6350</xdr:rowOff>
    </xdr:to>
    <xdr:sp macro="" textlink="">
      <xdr:nvSpPr>
        <xdr:cNvPr id="1079" name="円/楕円 1078"/>
        <xdr:cNvSpPr/>
      </xdr:nvSpPr>
      <xdr:spPr>
        <a:xfrm>
          <a:off x="6315075" y="24733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5.Sch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シートにス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ケジュール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をプロット</a:t>
          </a:r>
        </a:p>
      </xdr:txBody>
    </xdr:sp>
    <xdr:clientData/>
  </xdr:twoCellAnchor>
  <xdr:twoCellAnchor>
    <xdr:from>
      <xdr:col>3</xdr:col>
      <xdr:colOff>1244600</xdr:colOff>
      <xdr:row>13</xdr:row>
      <xdr:rowOff>34925</xdr:rowOff>
    </xdr:from>
    <xdr:to>
      <xdr:col>4</xdr:col>
      <xdr:colOff>234950</xdr:colOff>
      <xdr:row>17</xdr:row>
      <xdr:rowOff>111125</xdr:rowOff>
    </xdr:to>
    <xdr:sp macro="" textlink="">
      <xdr:nvSpPr>
        <xdr:cNvPr id="1081" name="円/楕円 1080"/>
        <xdr:cNvSpPr/>
      </xdr:nvSpPr>
      <xdr:spPr>
        <a:xfrm>
          <a:off x="8502650" y="24066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7.END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41275</xdr:colOff>
      <xdr:row>17</xdr:row>
      <xdr:rowOff>139700</xdr:rowOff>
    </xdr:from>
    <xdr:to>
      <xdr:col>3</xdr:col>
      <xdr:colOff>803275</xdr:colOff>
      <xdr:row>22</xdr:row>
      <xdr:rowOff>44450</xdr:rowOff>
    </xdr:to>
    <xdr:sp macro="" textlink="">
      <xdr:nvSpPr>
        <xdr:cNvPr id="1089" name="円/楕円 1088"/>
        <xdr:cNvSpPr/>
      </xdr:nvSpPr>
      <xdr:spPr>
        <a:xfrm>
          <a:off x="7299325" y="31972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6.AAA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2244725</xdr:colOff>
      <xdr:row>15</xdr:row>
      <xdr:rowOff>139700</xdr:rowOff>
    </xdr:from>
    <xdr:to>
      <xdr:col>2</xdr:col>
      <xdr:colOff>2562225</xdr:colOff>
      <xdr:row>19</xdr:row>
      <xdr:rowOff>130175</xdr:rowOff>
    </xdr:to>
    <xdr:cxnSp macro="">
      <xdr:nvCxnSpPr>
        <xdr:cNvPr id="3" name="直線矢印コネクタ 2"/>
        <xdr:cNvCxnSpPr>
          <a:stCxn id="1078" idx="6"/>
          <a:endCxn id="1079" idx="2"/>
        </xdr:cNvCxnSpPr>
      </xdr:nvCxnSpPr>
      <xdr:spPr>
        <a:xfrm flipV="1">
          <a:off x="5997575" y="2854325"/>
          <a:ext cx="317500" cy="6762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1225550</xdr:colOff>
      <xdr:row>13</xdr:row>
      <xdr:rowOff>6350</xdr:rowOff>
    </xdr:from>
    <xdr:to>
      <xdr:col>1</xdr:col>
      <xdr:colOff>1285875</xdr:colOff>
      <xdr:row>19</xdr:row>
      <xdr:rowOff>73025</xdr:rowOff>
    </xdr:to>
    <xdr:cxnSp macro="">
      <xdr:nvCxnSpPr>
        <xdr:cNvPr id="30" name="直線矢印コネクタ 29"/>
        <xdr:cNvCxnSpPr>
          <a:stCxn id="1075" idx="6"/>
          <a:endCxn id="1076" idx="2"/>
        </xdr:cNvCxnSpPr>
      </xdr:nvCxnSpPr>
      <xdr:spPr>
        <a:xfrm>
          <a:off x="3159125" y="2378075"/>
          <a:ext cx="60325" cy="10953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19</xdr:row>
      <xdr:rowOff>73025</xdr:rowOff>
    </xdr:from>
    <xdr:to>
      <xdr:col>2</xdr:col>
      <xdr:colOff>1482725</xdr:colOff>
      <xdr:row>19</xdr:row>
      <xdr:rowOff>130175</xdr:rowOff>
    </xdr:to>
    <xdr:cxnSp macro="">
      <xdr:nvCxnSpPr>
        <xdr:cNvPr id="31" name="直線矢印コネクタ 30"/>
        <xdr:cNvCxnSpPr>
          <a:stCxn id="1076" idx="6"/>
          <a:endCxn id="1078" idx="2"/>
        </xdr:cNvCxnSpPr>
      </xdr:nvCxnSpPr>
      <xdr:spPr>
        <a:xfrm>
          <a:off x="3981450" y="3473450"/>
          <a:ext cx="1254125" cy="57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1327150</xdr:colOff>
      <xdr:row>13</xdr:row>
      <xdr:rowOff>168275</xdr:rowOff>
    </xdr:from>
    <xdr:to>
      <xdr:col>2</xdr:col>
      <xdr:colOff>2562225</xdr:colOff>
      <xdr:row>15</xdr:row>
      <xdr:rowOff>139700</xdr:rowOff>
    </xdr:to>
    <xdr:cxnSp macro="">
      <xdr:nvCxnSpPr>
        <xdr:cNvPr id="32" name="直線矢印コネクタ 31"/>
        <xdr:cNvCxnSpPr>
          <a:stCxn id="1077" idx="6"/>
          <a:endCxn id="1079" idx="2"/>
        </xdr:cNvCxnSpPr>
      </xdr:nvCxnSpPr>
      <xdr:spPr>
        <a:xfrm>
          <a:off x="5080000" y="2540000"/>
          <a:ext cx="1235075" cy="3143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1225550</xdr:colOff>
      <xdr:row>13</xdr:row>
      <xdr:rowOff>6350</xdr:rowOff>
    </xdr:from>
    <xdr:to>
      <xdr:col>2</xdr:col>
      <xdr:colOff>565150</xdr:colOff>
      <xdr:row>13</xdr:row>
      <xdr:rowOff>168275</xdr:rowOff>
    </xdr:to>
    <xdr:cxnSp macro="">
      <xdr:nvCxnSpPr>
        <xdr:cNvPr id="59" name="直線矢印コネクタ 58"/>
        <xdr:cNvCxnSpPr>
          <a:stCxn id="1075" idx="6"/>
          <a:endCxn id="1077" idx="2"/>
        </xdr:cNvCxnSpPr>
      </xdr:nvCxnSpPr>
      <xdr:spPr>
        <a:xfrm>
          <a:off x="3159125" y="2378075"/>
          <a:ext cx="1158875" cy="1619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117008</xdr:colOff>
      <xdr:row>15</xdr:row>
      <xdr:rowOff>94783</xdr:rowOff>
    </xdr:from>
    <xdr:to>
      <xdr:col>2</xdr:col>
      <xdr:colOff>676742</xdr:colOff>
      <xdr:row>17</xdr:row>
      <xdr:rowOff>146517</xdr:rowOff>
    </xdr:to>
    <xdr:cxnSp macro="">
      <xdr:nvCxnSpPr>
        <xdr:cNvPr id="29" name="直線矢印コネクタ 28"/>
        <xdr:cNvCxnSpPr>
          <a:stCxn id="1076" idx="7"/>
          <a:endCxn id="1077" idx="3"/>
        </xdr:cNvCxnSpPr>
      </xdr:nvCxnSpPr>
      <xdr:spPr>
        <a:xfrm flipV="1">
          <a:off x="3869858" y="2809408"/>
          <a:ext cx="559734" cy="39463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1593850</xdr:colOff>
      <xdr:row>14</xdr:row>
      <xdr:rowOff>6350</xdr:rowOff>
    </xdr:from>
    <xdr:to>
      <xdr:col>1</xdr:col>
      <xdr:colOff>1285875</xdr:colOff>
      <xdr:row>19</xdr:row>
      <xdr:rowOff>73025</xdr:rowOff>
    </xdr:to>
    <xdr:cxnSp macro="">
      <xdr:nvCxnSpPr>
        <xdr:cNvPr id="35" name="直線矢印コネクタ 34"/>
        <xdr:cNvCxnSpPr>
          <a:stCxn id="1074" idx="6"/>
          <a:endCxn id="1076" idx="2"/>
        </xdr:cNvCxnSpPr>
      </xdr:nvCxnSpPr>
      <xdr:spPr>
        <a:xfrm>
          <a:off x="1593850" y="2549525"/>
          <a:ext cx="1625600" cy="9239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1215558</xdr:colOff>
      <xdr:row>15</xdr:row>
      <xdr:rowOff>94783</xdr:rowOff>
    </xdr:from>
    <xdr:to>
      <xdr:col>2</xdr:col>
      <xdr:colOff>1594317</xdr:colOff>
      <xdr:row>18</xdr:row>
      <xdr:rowOff>32217</xdr:rowOff>
    </xdr:to>
    <xdr:cxnSp macro="">
      <xdr:nvCxnSpPr>
        <xdr:cNvPr id="41" name="直線矢印コネクタ 40"/>
        <xdr:cNvCxnSpPr>
          <a:stCxn id="1077" idx="5"/>
          <a:endCxn id="1078" idx="1"/>
        </xdr:cNvCxnSpPr>
      </xdr:nvCxnSpPr>
      <xdr:spPr>
        <a:xfrm>
          <a:off x="4968408" y="2809408"/>
          <a:ext cx="378759" cy="45178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1593850</xdr:colOff>
      <xdr:row>13</xdr:row>
      <xdr:rowOff>6350</xdr:rowOff>
    </xdr:from>
    <xdr:to>
      <xdr:col>1</xdr:col>
      <xdr:colOff>463550</xdr:colOff>
      <xdr:row>14</xdr:row>
      <xdr:rowOff>6350</xdr:rowOff>
    </xdr:to>
    <xdr:cxnSp macro="">
      <xdr:nvCxnSpPr>
        <xdr:cNvPr id="46" name="直線矢印コネクタ 45"/>
        <xdr:cNvCxnSpPr>
          <a:stCxn id="1074" idx="6"/>
          <a:endCxn id="1075" idx="2"/>
        </xdr:cNvCxnSpPr>
      </xdr:nvCxnSpPr>
      <xdr:spPr>
        <a:xfrm flipV="1">
          <a:off x="1593850" y="2378075"/>
          <a:ext cx="803275" cy="1714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3324225</xdr:colOff>
      <xdr:row>15</xdr:row>
      <xdr:rowOff>73025</xdr:rowOff>
    </xdr:from>
    <xdr:to>
      <xdr:col>3</xdr:col>
      <xdr:colOff>1244600</xdr:colOff>
      <xdr:row>15</xdr:row>
      <xdr:rowOff>139700</xdr:rowOff>
    </xdr:to>
    <xdr:cxnSp macro="">
      <xdr:nvCxnSpPr>
        <xdr:cNvPr id="27" name="直線矢印コネクタ 26"/>
        <xdr:cNvCxnSpPr>
          <a:stCxn id="1079" idx="6"/>
          <a:endCxn id="1081" idx="2"/>
        </xdr:cNvCxnSpPr>
      </xdr:nvCxnSpPr>
      <xdr:spPr>
        <a:xfrm flipV="1">
          <a:off x="7077075" y="2787650"/>
          <a:ext cx="1425575" cy="666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3324225</xdr:colOff>
      <xdr:row>15</xdr:row>
      <xdr:rowOff>139700</xdr:rowOff>
    </xdr:from>
    <xdr:to>
      <xdr:col>3</xdr:col>
      <xdr:colOff>41275</xdr:colOff>
      <xdr:row>20</xdr:row>
      <xdr:rowOff>6350</xdr:rowOff>
    </xdr:to>
    <xdr:cxnSp macro="">
      <xdr:nvCxnSpPr>
        <xdr:cNvPr id="28" name="直線矢印コネクタ 27"/>
        <xdr:cNvCxnSpPr>
          <a:stCxn id="1079" idx="6"/>
          <a:endCxn id="1089" idx="2"/>
        </xdr:cNvCxnSpPr>
      </xdr:nvCxnSpPr>
      <xdr:spPr>
        <a:xfrm>
          <a:off x="7077075" y="2854325"/>
          <a:ext cx="222250" cy="7239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803275</xdr:colOff>
      <xdr:row>15</xdr:row>
      <xdr:rowOff>73025</xdr:rowOff>
    </xdr:from>
    <xdr:to>
      <xdr:col>3</xdr:col>
      <xdr:colOff>1244600</xdr:colOff>
      <xdr:row>20</xdr:row>
      <xdr:rowOff>6350</xdr:rowOff>
    </xdr:to>
    <xdr:cxnSp macro="">
      <xdr:nvCxnSpPr>
        <xdr:cNvPr id="33" name="直線矢印コネクタ 32"/>
        <xdr:cNvCxnSpPr>
          <a:stCxn id="1089" idx="6"/>
          <a:endCxn id="1081" idx="2"/>
        </xdr:cNvCxnSpPr>
      </xdr:nvCxnSpPr>
      <xdr:spPr>
        <a:xfrm flipV="1">
          <a:off x="8061325" y="2787650"/>
          <a:ext cx="441325" cy="7905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L25"/>
  <sheetViews>
    <sheetView tabSelected="1" workbookViewId="0"/>
  </sheetViews>
  <sheetFormatPr defaultRowHeight="13.5" x14ac:dyDescent="0.15"/>
  <cols>
    <col min="1" max="1" width="3.75" bestFit="1" customWidth="1"/>
    <col min="2" max="2" width="39.5" bestFit="1" customWidth="1"/>
    <col min="3" max="3" width="13.125" style="9" bestFit="1" customWidth="1"/>
    <col min="4" max="4" width="9.5" bestFit="1" customWidth="1"/>
    <col min="5" max="6" width="15.625" bestFit="1" customWidth="1"/>
    <col min="7" max="7" width="20.75" bestFit="1" customWidth="1"/>
    <col min="8" max="8" width="10.75" bestFit="1" customWidth="1"/>
    <col min="9" max="9" width="13.125" bestFit="1" customWidth="1"/>
    <col min="10" max="10" width="25.875" bestFit="1" customWidth="1"/>
    <col min="11" max="11" width="13.625" bestFit="1" customWidth="1"/>
    <col min="12" max="12" width="14.75" bestFit="1" customWidth="1"/>
  </cols>
  <sheetData>
    <row r="1" spans="1:12" s="8" customFormat="1" ht="42" x14ac:dyDescent="0.15">
      <c r="A1" s="7" t="s">
        <v>9</v>
      </c>
    </row>
    <row r="2" spans="1:12" x14ac:dyDescent="0.15">
      <c r="C2"/>
    </row>
    <row r="3" spans="1:12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15</v>
      </c>
      <c r="H3" s="1" t="s">
        <v>12</v>
      </c>
      <c r="I3" s="1" t="s">
        <v>13</v>
      </c>
      <c r="J3" s="1" t="s">
        <v>14</v>
      </c>
    </row>
    <row r="4" spans="1:12" x14ac:dyDescent="0.15">
      <c r="A4">
        <v>0</v>
      </c>
      <c r="B4" t="s">
        <v>25</v>
      </c>
      <c r="E4" s="11">
        <v>44346</v>
      </c>
      <c r="F4" s="11">
        <f>IF(ISBLANK(J4),WORKDAY(E4,D4,Holidays!A:A),E4+7-WEEKDAY(E4+7-J4))</f>
        <v>44346</v>
      </c>
      <c r="G4" t="s">
        <v>16</v>
      </c>
      <c r="J4" s="10"/>
      <c r="K4" s="11"/>
      <c r="L4" s="11"/>
    </row>
    <row r="5" spans="1:12" x14ac:dyDescent="0.15">
      <c r="A5">
        <v>1</v>
      </c>
      <c r="B5" t="s">
        <v>32</v>
      </c>
      <c r="C5" s="9">
        <v>0</v>
      </c>
      <c r="D5">
        <v>1</v>
      </c>
      <c r="E5" s="11">
        <f>WORKDAY(MAX(F4),I5,Holidays!A:A)</f>
        <v>44347</v>
      </c>
      <c r="F5" s="11">
        <f>IF(ISBLANK(J5),WORKDAY(E5,D5,Holidays!A:A),E5+7-WEEKDAY(E5+7-J5))</f>
        <v>44348</v>
      </c>
      <c r="G5" t="s">
        <v>17</v>
      </c>
      <c r="I5">
        <v>1</v>
      </c>
      <c r="J5" s="10"/>
      <c r="K5" s="11"/>
      <c r="L5" s="11"/>
    </row>
    <row r="6" spans="1:12" x14ac:dyDescent="0.15">
      <c r="A6">
        <v>2</v>
      </c>
      <c r="B6" t="s">
        <v>26</v>
      </c>
      <c r="C6" s="9" t="s">
        <v>30</v>
      </c>
      <c r="D6">
        <v>1</v>
      </c>
      <c r="E6" s="11">
        <f>WORKDAY(MAX(F4,F5),I6,Holidays!A:A)</f>
        <v>44349</v>
      </c>
      <c r="F6" s="11">
        <f>IF(ISBLANK(J6),WORKDAY(E6,D6,Holidays!A:A),E6+7-WEEKDAY(E6+7-J6))</f>
        <v>44350</v>
      </c>
      <c r="G6" t="s">
        <v>18</v>
      </c>
      <c r="I6">
        <v>1</v>
      </c>
      <c r="J6" s="10"/>
      <c r="K6" s="11"/>
      <c r="L6" s="11"/>
    </row>
    <row r="7" spans="1:12" x14ac:dyDescent="0.15">
      <c r="A7">
        <v>3</v>
      </c>
      <c r="B7" t="s">
        <v>29</v>
      </c>
      <c r="C7" s="9" t="s">
        <v>31</v>
      </c>
      <c r="D7">
        <v>1</v>
      </c>
      <c r="E7" s="11">
        <f>WORKDAY(MAX(F5,F6),I7,Holidays!A:A)</f>
        <v>44351</v>
      </c>
      <c r="F7" s="11">
        <f>IF(ISBLANK(J7),WORKDAY(E7,D7,Holidays!A:A),E7+7-WEEKDAY(E7+7-J7))</f>
        <v>44354</v>
      </c>
      <c r="G7" t="s">
        <v>19</v>
      </c>
      <c r="I7">
        <v>1</v>
      </c>
      <c r="J7" s="10"/>
      <c r="K7" s="11"/>
      <c r="L7" s="11"/>
    </row>
    <row r="8" spans="1:12" x14ac:dyDescent="0.15">
      <c r="A8">
        <v>4</v>
      </c>
      <c r="B8" t="s">
        <v>33</v>
      </c>
      <c r="C8" s="9" t="s">
        <v>34</v>
      </c>
      <c r="D8">
        <v>1</v>
      </c>
      <c r="E8" s="11">
        <f>WORKDAY(MAX(F6,F7),I8,Holidays!A:A)</f>
        <v>44355</v>
      </c>
      <c r="F8" s="11">
        <f>IF(ISBLANK(J8),WORKDAY(E8,D8,Holidays!A:A),E8+7-WEEKDAY(E8+7-J8))</f>
        <v>44356</v>
      </c>
      <c r="G8" t="s">
        <v>20</v>
      </c>
      <c r="I8">
        <v>1</v>
      </c>
      <c r="J8" s="10"/>
      <c r="K8" s="11"/>
      <c r="L8" s="11"/>
    </row>
    <row r="9" spans="1:12" x14ac:dyDescent="0.15">
      <c r="A9">
        <v>5</v>
      </c>
      <c r="B9" t="s">
        <v>35</v>
      </c>
      <c r="C9" s="9" t="s">
        <v>27</v>
      </c>
      <c r="D9">
        <v>1</v>
      </c>
      <c r="E9" s="11">
        <f>WORKDAY(MAX(F7,F8),I9,Holidays!A:A)</f>
        <v>44357</v>
      </c>
      <c r="F9" s="11">
        <f>IF(ISBLANK(J9),WORKDAY(E9,D9,Holidays!A:A),E9+7-WEEKDAY(E9+7-J9))</f>
        <v>44358</v>
      </c>
      <c r="G9" t="s">
        <v>21</v>
      </c>
      <c r="I9">
        <v>1</v>
      </c>
      <c r="J9" s="10"/>
      <c r="K9" s="11"/>
      <c r="L9" s="11"/>
    </row>
    <row r="10" spans="1:12" x14ac:dyDescent="0.15">
      <c r="A10">
        <v>6</v>
      </c>
      <c r="B10" t="s">
        <v>28</v>
      </c>
      <c r="C10" s="9">
        <v>5</v>
      </c>
      <c r="E10" s="11">
        <f>WORKDAY(MAX(F9),I10,Holidays!A:A)</f>
        <v>44358</v>
      </c>
      <c r="F10" s="11">
        <f>IF(ISBLANK(J10),WORKDAY(E10,D10,Holidays!A:A),E10+7-WEEKDAY(E10+7-J10))</f>
        <v>44358</v>
      </c>
      <c r="G10" t="s">
        <v>23</v>
      </c>
      <c r="J10" s="10"/>
      <c r="K10" s="11"/>
      <c r="L10" s="11"/>
    </row>
    <row r="11" spans="1:12" x14ac:dyDescent="0.15">
      <c r="A11">
        <v>7</v>
      </c>
      <c r="B11" t="s">
        <v>24</v>
      </c>
      <c r="C11" s="9" t="s">
        <v>36</v>
      </c>
      <c r="E11" s="11">
        <f>WORKDAY(MAX(F9,F10),I11,Holidays!A:A)</f>
        <v>44358</v>
      </c>
      <c r="F11" s="11">
        <f>IF(ISBLANK(J11),WORKDAY(E11,D11,Holidays!A:A),E11+7-WEEKDAY(E11+7-J11))</f>
        <v>44358</v>
      </c>
      <c r="G11" t="s">
        <v>22</v>
      </c>
      <c r="J11" s="10"/>
      <c r="K11" s="11"/>
      <c r="L11" s="11"/>
    </row>
    <row r="12" spans="1:12" x14ac:dyDescent="0.15">
      <c r="E12" s="11"/>
      <c r="F12" s="11"/>
      <c r="J12" s="10"/>
      <c r="K12" s="11"/>
      <c r="L12" s="11"/>
    </row>
    <row r="13" spans="1:12" x14ac:dyDescent="0.15">
      <c r="E13" s="11"/>
      <c r="F13" s="11"/>
      <c r="J13" s="10"/>
      <c r="K13" s="11"/>
      <c r="L13" s="11"/>
    </row>
    <row r="14" spans="1:12" x14ac:dyDescent="0.15">
      <c r="E14" s="11"/>
      <c r="F14" s="11"/>
      <c r="J14" s="10"/>
      <c r="K14" s="11"/>
      <c r="L14" s="11"/>
    </row>
    <row r="15" spans="1:12" x14ac:dyDescent="0.15">
      <c r="E15" s="11"/>
      <c r="F15" s="11"/>
      <c r="J15" s="10"/>
      <c r="K15" s="11"/>
      <c r="L15" s="11"/>
    </row>
    <row r="16" spans="1:12" x14ac:dyDescent="0.15">
      <c r="E16" s="11"/>
      <c r="F16" s="11"/>
      <c r="J16" s="10"/>
      <c r="K16" s="11"/>
      <c r="L16" s="11"/>
    </row>
    <row r="17" spans="5:12" x14ac:dyDescent="0.15">
      <c r="E17" s="11"/>
      <c r="F17" s="11"/>
      <c r="J17" s="10"/>
      <c r="K17" s="11"/>
      <c r="L17" s="11"/>
    </row>
    <row r="18" spans="5:12" x14ac:dyDescent="0.15">
      <c r="E18" s="11"/>
      <c r="F18" s="11"/>
      <c r="J18" s="10"/>
      <c r="K18" s="11"/>
      <c r="L18" s="11"/>
    </row>
    <row r="19" spans="5:12" x14ac:dyDescent="0.15">
      <c r="E19" s="11"/>
      <c r="F19" s="11"/>
      <c r="J19" s="10"/>
      <c r="K19" s="11"/>
      <c r="L19" s="11"/>
    </row>
    <row r="20" spans="5:12" x14ac:dyDescent="0.15">
      <c r="E20" s="11"/>
      <c r="F20" s="11"/>
      <c r="J20" s="10"/>
      <c r="K20" s="11"/>
      <c r="L20" s="11"/>
    </row>
    <row r="21" spans="5:12" x14ac:dyDescent="0.15">
      <c r="J21" s="10"/>
    </row>
    <row r="22" spans="5:12" x14ac:dyDescent="0.15">
      <c r="J22" s="10"/>
    </row>
    <row r="23" spans="5:12" x14ac:dyDescent="0.15">
      <c r="J23" s="10"/>
    </row>
    <row r="24" spans="5:12" x14ac:dyDescent="0.15">
      <c r="J24" s="10"/>
    </row>
    <row r="25" spans="5:12" x14ac:dyDescent="0.15">
      <c r="J25" s="10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Normal="100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Schedule</vt:lpstr>
      <vt:lpstr>Draw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2021-05-30T12:38:45Z</dcterms:modified>
</cp:coreProperties>
</file>