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1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F6" i="3" s="1"/>
  <c r="E5" i="3"/>
  <c r="F5" i="3" s="1"/>
  <c r="F4" i="3"/>
  <c r="E7" i="3" s="1"/>
  <c r="F7" i="3" s="1"/>
  <c r="E9" i="3" l="1"/>
  <c r="F9" i="3" s="1"/>
  <c r="E8" i="3"/>
  <c r="F8" i="3" s="1"/>
  <c r="E10" i="3" l="1"/>
  <c r="F10" i="3" s="1"/>
  <c r="E11" i="3" s="1"/>
  <c r="F11" i="3" s="1"/>
</calcChain>
</file>

<file path=xl/sharedStrings.xml><?xml version="1.0" encoding="utf-8"?>
<sst xmlns="http://schemas.openxmlformats.org/spreadsheetml/2006/main" count="35" uniqueCount="35">
  <si>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</si>
  <si>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</si>
  <si>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</si>
  <si>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</si>
  <si>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</si>
  <si>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</si>
  <si>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</si>
  <si>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</si>
  <si>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</si>
  <si>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</si>
  <si>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</si>
  <si>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</si>
  <si>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</si>
  <si>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</si>
  <si>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</si>
  <si>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</si>
  <si>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タスクのナンバリング</t>
    <phoneticPr fontId="1"/>
  </si>
  <si>
    <t>Oval 1059</t>
    <phoneticPr fontId="1"/>
  </si>
  <si>
    <t>Oval 1060</t>
    <phoneticPr fontId="1"/>
  </si>
  <si>
    <t>Oval 1061</t>
    <phoneticPr fontId="1"/>
  </si>
  <si>
    <t>Oval 1062</t>
    <phoneticPr fontId="1"/>
  </si>
  <si>
    <t>Oval 1063</t>
    <phoneticPr fontId="1"/>
  </si>
  <si>
    <t>Oval 1064</t>
    <phoneticPr fontId="1"/>
  </si>
  <si>
    <t>Oval 1065</t>
    <phoneticPr fontId="1"/>
  </si>
  <si>
    <t>Oval 1066</t>
    <phoneticPr fontId="1"/>
  </si>
  <si>
    <t>2,3</t>
    <phoneticPr fontId="1"/>
  </si>
  <si>
    <t>START</t>
    <phoneticPr fontId="1"/>
  </si>
  <si>
    <t>Drawシートでタスクをプロットして配置する</t>
    <phoneticPr fontId="1"/>
  </si>
  <si>
    <t>思いつくままにScheduleシートにタスクを追加</t>
    <phoneticPr fontId="1"/>
  </si>
  <si>
    <t>タスク同士をコネクトする</t>
    <phoneticPr fontId="1"/>
  </si>
  <si>
    <t>1,2</t>
    <phoneticPr fontId="1"/>
  </si>
  <si>
    <t>Scheduleシートにスケジュールをプロット</t>
    <phoneticPr fontId="1"/>
  </si>
  <si>
    <t>AAA</t>
    <phoneticPr fontId="1"/>
  </si>
  <si>
    <t>4,5</t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</si>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</sst>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1079500</xdr:colOff>
      <xdr:row>17</xdr:row>
      <xdr:rowOff>63500</xdr:rowOff>
    </xdr:from>
    <xdr:to>
      <xdr:col>0</xdr:col>
      <xdr:colOff>1841500</xdr:colOff>
      <xdr:row>21</xdr:row>
      <xdr:rowOff>139700</xdr:rowOff>
    </xdr:to>
    <xdr:sp macro="" textlink="">
      <xdr:nvSpPr>
        <xdr:cNvPr id="1060" name="円/楕円 1059"/>
        <xdr:cNvSpPr/>
      </xdr:nvSpPr>
      <xdr:spPr>
        <a:xfrm>
          <a:off x="1079500" y="31210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61" name="円/楕円 1060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606425</xdr:colOff>
      <xdr:row>17</xdr:row>
      <xdr:rowOff>117475</xdr:rowOff>
    </xdr:from>
    <xdr:to>
      <xdr:col>1</xdr:col>
      <xdr:colOff>1368425</xdr:colOff>
      <xdr:row>22</xdr:row>
      <xdr:rowOff>22225</xdr:rowOff>
    </xdr:to>
    <xdr:sp macro="" textlink="">
      <xdr:nvSpPr>
        <xdr:cNvPr id="1062" name="円/楕円 1061"/>
        <xdr:cNvSpPr/>
      </xdr:nvSpPr>
      <xdr:spPr>
        <a:xfrm>
          <a:off x="2540000" y="3175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arn-CL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606425</xdr:colOff>
      <xdr:row>23</xdr:row>
      <xdr:rowOff>104775</xdr:rowOff>
    </xdr:from>
    <xdr:to>
      <xdr:col>1</xdr:col>
      <xdr:colOff>1368425</xdr:colOff>
      <xdr:row>28</xdr:row>
      <xdr:rowOff>9525</xdr:rowOff>
    </xdr:to>
    <xdr:sp macro="" textlink="">
      <xdr:nvSpPr>
        <xdr:cNvPr id="1063" name="円/楕円 1062"/>
        <xdr:cNvSpPr/>
      </xdr:nvSpPr>
      <xdr:spPr>
        <a:xfrm>
          <a:off x="2540000" y="419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25400</xdr:colOff>
      <xdr:row>14</xdr:row>
      <xdr:rowOff>92075</xdr:rowOff>
    </xdr:from>
    <xdr:to>
      <xdr:col>2</xdr:col>
      <xdr:colOff>787400</xdr:colOff>
      <xdr:row>18</xdr:row>
      <xdr:rowOff>168275</xdr:rowOff>
    </xdr:to>
    <xdr:sp macro="" textlink="">
      <xdr:nvSpPr>
        <xdr:cNvPr id="1064" name="円/楕円 1063"/>
        <xdr:cNvSpPr/>
      </xdr:nvSpPr>
      <xdr:spPr>
        <a:xfrm>
          <a:off x="3778250" y="2635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25400</xdr:colOff>
      <xdr:row>20</xdr:row>
      <xdr:rowOff>79375</xdr:rowOff>
    </xdr:from>
    <xdr:to>
      <xdr:col>2</xdr:col>
      <xdr:colOff>787400</xdr:colOff>
      <xdr:row>24</xdr:row>
      <xdr:rowOff>155575</xdr:rowOff>
    </xdr:to>
    <xdr:sp macro="" textlink="">
      <xdr:nvSpPr>
        <xdr:cNvPr id="1065" name="円/楕円 1064"/>
        <xdr:cNvSpPr/>
      </xdr:nvSpPr>
      <xdr:spPr>
        <a:xfrm>
          <a:off x="3778250" y="3651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2</xdr:col>
      <xdr:colOff>1289050</xdr:colOff>
      <xdr:row>17</xdr:row>
      <xdr:rowOff>92075</xdr:rowOff>
    </xdr:from>
    <xdr:to>
      <xdr:col>2</xdr:col>
      <xdr:colOff>2051050</xdr:colOff>
      <xdr:row>21</xdr:row>
      <xdr:rowOff>168275</xdr:rowOff>
    </xdr:to>
    <xdr:sp macro="" textlink="">
      <xdr:nvSpPr>
        <xdr:cNvPr id="1066" name="円/楕円 1065"/>
        <xdr:cNvSpPr/>
      </xdr:nvSpPr>
      <xdr:spPr>
        <a:xfrm>
          <a:off x="5041900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2178050</xdr:colOff>
      <xdr:row>17</xdr:row>
      <xdr:rowOff>92075</xdr:rowOff>
    </xdr:from>
    <xdr:to>
      <xdr:col>2</xdr:col>
      <xdr:colOff>2940050</xdr:colOff>
      <xdr:row>21</xdr:row>
      <xdr:rowOff>168275</xdr:rowOff>
    </xdr:to>
    <xdr:sp macro="" textlink="">
      <xdr:nvSpPr>
        <xdr:cNvPr id="1067" name="円/楕円 1066"/>
        <xdr:cNvSpPr/>
      </xdr:nvSpPr>
      <xdr:spPr>
        <a:xfrm>
          <a:off x="5930900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1841500</xdr:colOff>
      <xdr:row>13</xdr:row>
      <xdr:rowOff>168275</xdr:rowOff>
    </xdr:from>
    <xdr:to>
      <xdr:col>1</xdr:col>
      <xdr:colOff>606425</xdr:colOff>
      <xdr:row>19</xdr:row>
      <xdr:rowOff>101600</xdr:rowOff>
    </xdr:to>
    <xdr:cxnSp macro="">
      <xdr:nvCxnSpPr>
        <xdr:cNvPr id="1070" name="直線矢印コネクタ 1069"/>
        <xdr:cNvCxnSpPr>
          <a:stCxn id="1060" idx="6"/>
          <a:endCxn id="1061" idx="2"/>
        </xdr:cNvCxnSpPr>
      </xdr:nvCxnSpPr>
      <xdr:spPr>
        <a:xfrm flipV="1">
          <a:off x="1841500" y="2540000"/>
          <a:ext cx="698500" cy="9620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19</xdr:row>
      <xdr:rowOff>155575</xdr:rowOff>
    </xdr:to>
    <xdr:cxnSp macro="">
      <xdr:nvCxnSpPr>
        <xdr:cNvPr id="1071" name="直線矢印コネクタ 1070"/>
        <xdr:cNvCxnSpPr>
          <a:stCxn id="1060" idx="6"/>
          <a:endCxn id="1062" idx="2"/>
        </xdr:cNvCxnSpPr>
      </xdr:nvCxnSpPr>
      <xdr:spPr>
        <a:xfrm>
          <a:off x="1841500" y="3502025"/>
          <a:ext cx="698500" cy="53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25</xdr:row>
      <xdr:rowOff>142875</xdr:rowOff>
    </xdr:to>
    <xdr:cxnSp macro="">
      <xdr:nvCxnSpPr>
        <xdr:cNvPr id="1072" name="直線矢印コネクタ 1071"/>
        <xdr:cNvCxnSpPr>
          <a:stCxn id="1060" idx="6"/>
          <a:endCxn id="1063" idx="2"/>
        </xdr:cNvCxnSpPr>
      </xdr:nvCxnSpPr>
      <xdr:spPr>
        <a:xfrm>
          <a:off x="1841500" y="3502025"/>
          <a:ext cx="698500" cy="1069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19</xdr:row>
      <xdr:rowOff>155575</xdr:rowOff>
    </xdr:to>
    <xdr:cxnSp macro="">
      <xdr:nvCxnSpPr>
        <xdr:cNvPr id="1073" name="直線矢印コネクタ 1072"/>
        <xdr:cNvCxnSpPr>
          <a:stCxn id="1062" idx="6"/>
          <a:endCxn id="1064" idx="2"/>
        </xdr:cNvCxnSpPr>
      </xdr:nvCxnSpPr>
      <xdr:spPr>
        <a:xfrm flipV="1">
          <a:off x="3302000" y="3016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19</xdr:row>
      <xdr:rowOff>155575</xdr:rowOff>
    </xdr:from>
    <xdr:to>
      <xdr:col>2</xdr:col>
      <xdr:colOff>25400</xdr:colOff>
      <xdr:row>22</xdr:row>
      <xdr:rowOff>117475</xdr:rowOff>
    </xdr:to>
    <xdr:cxnSp macro="">
      <xdr:nvCxnSpPr>
        <xdr:cNvPr id="1080" name="直線矢印コネクタ 1079"/>
        <xdr:cNvCxnSpPr>
          <a:stCxn id="1062" idx="6"/>
          <a:endCxn id="1065" idx="2"/>
        </xdr:cNvCxnSpPr>
      </xdr:nvCxnSpPr>
      <xdr:spPr>
        <a:xfrm>
          <a:off x="3302000" y="3556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2</xdr:col>
      <xdr:colOff>25400</xdr:colOff>
      <xdr:row>16</xdr:row>
      <xdr:rowOff>130175</xdr:rowOff>
    </xdr:to>
    <xdr:cxnSp macro="">
      <xdr:nvCxnSpPr>
        <xdr:cNvPr id="1082" name="直線矢印コネクタ 1081"/>
        <xdr:cNvCxnSpPr>
          <a:stCxn id="1061" idx="6"/>
          <a:endCxn id="1064" idx="2"/>
        </xdr:cNvCxnSpPr>
      </xdr:nvCxnSpPr>
      <xdr:spPr>
        <a:xfrm>
          <a:off x="3302000" y="2540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16</xdr:row>
      <xdr:rowOff>130175</xdr:rowOff>
    </xdr:from>
    <xdr:to>
      <xdr:col>2</xdr:col>
      <xdr:colOff>1289050</xdr:colOff>
      <xdr:row>19</xdr:row>
      <xdr:rowOff>130175</xdr:rowOff>
    </xdr:to>
    <xdr:cxnSp macro="">
      <xdr:nvCxnSpPr>
        <xdr:cNvPr id="1083" name="直線矢印コネクタ 1082"/>
        <xdr:cNvCxnSpPr>
          <a:stCxn id="1064" idx="6"/>
          <a:endCxn id="1066" idx="2"/>
        </xdr:cNvCxnSpPr>
      </xdr:nvCxnSpPr>
      <xdr:spPr>
        <a:xfrm>
          <a:off x="4540250" y="3016250"/>
          <a:ext cx="501650" cy="514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22</xdr:row>
      <xdr:rowOff>117475</xdr:rowOff>
    </xdr:from>
    <xdr:to>
      <xdr:col>2</xdr:col>
      <xdr:colOff>25400</xdr:colOff>
      <xdr:row>25</xdr:row>
      <xdr:rowOff>142875</xdr:rowOff>
    </xdr:to>
    <xdr:cxnSp macro="">
      <xdr:nvCxnSpPr>
        <xdr:cNvPr id="1084" name="直線矢印コネクタ 1083"/>
        <xdr:cNvCxnSpPr>
          <a:stCxn id="1063" idx="6"/>
          <a:endCxn id="1065" idx="2"/>
        </xdr:cNvCxnSpPr>
      </xdr:nvCxnSpPr>
      <xdr:spPr>
        <a:xfrm flipV="1">
          <a:off x="3302000" y="4032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19</xdr:row>
      <xdr:rowOff>130175</xdr:rowOff>
    </xdr:from>
    <xdr:to>
      <xdr:col>2</xdr:col>
      <xdr:colOff>1289050</xdr:colOff>
      <xdr:row>22</xdr:row>
      <xdr:rowOff>117475</xdr:rowOff>
    </xdr:to>
    <xdr:cxnSp macro="">
      <xdr:nvCxnSpPr>
        <xdr:cNvPr id="1085" name="直線矢印コネクタ 1084"/>
        <xdr:cNvCxnSpPr>
          <a:stCxn id="1065" idx="6"/>
          <a:endCxn id="1066" idx="2"/>
        </xdr:cNvCxnSpPr>
      </xdr:nvCxnSpPr>
      <xdr:spPr>
        <a:xfrm flipV="1">
          <a:off x="4540250" y="3530600"/>
          <a:ext cx="501650" cy="5016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2051050</xdr:colOff>
      <xdr:row>19</xdr:row>
      <xdr:rowOff>130175</xdr:rowOff>
    </xdr:from>
    <xdr:to>
      <xdr:col>2</xdr:col>
      <xdr:colOff>2178050</xdr:colOff>
      <xdr:row>19</xdr:row>
      <xdr:rowOff>130175</xdr:rowOff>
    </xdr:to>
    <xdr:cxnSp macro="">
      <xdr:nvCxnSpPr>
        <xdr:cNvPr id="1086" name="直線矢印コネクタ 1085"/>
        <xdr:cNvCxnSpPr>
          <a:stCxn id="1066" idx="6"/>
          <a:endCxn id="1067" idx="2"/>
        </xdr:cNvCxnSpPr>
      </xdr:nvCxnSpPr>
      <xdr:spPr>
        <a:xfrm>
          <a:off x="5803900" y="35306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workbookViewId="0">
      <selection activeCell="B9" sqref="B9"/>
    </sheetView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26</v>
      </c>
      <c r="E4" s="11">
        <v>44358</v>
      </c>
      <c r="F4" s="11">
        <f>IF(ISBLANK(J4),WORKDAY(E4,D4,Holidays!A:A),E4+7-WEEKDAY(E4+7-J4))</f>
        <v>44358</v>
      </c>
      <c r="G4" t="s">
        <v>17</v>
      </c>
      <c r="J4" s="10"/>
      <c r="K4" s="11"/>
      <c r="L4" s="11"/>
    </row>
    <row r="5" spans="1:12" x14ac:dyDescent="0.15">
      <c r="A5">
        <v>1</v>
      </c>
      <c r="B5" t="s">
        <v>27</v>
      </c>
      <c r="C5" s="9">
        <v>0</v>
      </c>
      <c r="D5">
        <v>1</v>
      </c>
      <c r="E5" s="11">
        <f>WORKDAY(MAX(F4),I5,Holidays!A:A)</f>
        <v>44361</v>
      </c>
      <c r="F5" s="11">
        <f>IF(ISBLANK(J5),WORKDAY(E5,D5,Holidays!A:A),E5+7-WEEKDAY(E5+7-J5))</f>
        <v>44362</v>
      </c>
      <c r="G5" t="s">
        <v>18</v>
      </c>
      <c r="I5">
        <v>1</v>
      </c>
      <c r="J5" s="10"/>
      <c r="K5" s="11"/>
      <c r="L5" s="11"/>
    </row>
    <row r="6" spans="1:12" x14ac:dyDescent="0.15">
      <c r="A6">
        <v>2</v>
      </c>
      <c r="B6" t="s">
        <v>28</v>
      </c>
      <c r="C6" s="9">
        <v>0</v>
      </c>
      <c r="D6">
        <v>1</v>
      </c>
      <c r="E6" s="11">
        <f>WORKDAY(MAX(F4),I6,Holidays!A:A)</f>
        <v>44361</v>
      </c>
      <c r="F6" s="11">
        <f>IF(ISBLANK(J6),WORKDAY(E6,D6,Holidays!A:A),E6+7-WEEKDAY(E6+7-J6))</f>
        <v>44362</v>
      </c>
      <c r="G6" t="s">
        <v>19</v>
      </c>
      <c r="I6">
        <v>1</v>
      </c>
      <c r="J6" s="10"/>
      <c r="K6" s="11"/>
      <c r="L6" s="11"/>
    </row>
    <row r="7" spans="1:12" x14ac:dyDescent="0.15">
      <c r="A7">
        <v>3</v>
      </c>
      <c r="B7" t="s">
        <v>29</v>
      </c>
      <c r="C7" s="9">
        <v>0</v>
      </c>
      <c r="D7">
        <v>1</v>
      </c>
      <c r="E7" s="11">
        <f>WORKDAY(MAX(F4),I7,Holidays!A:A)</f>
        <v>44361</v>
      </c>
      <c r="F7" s="11">
        <f>IF(ISBLANK(J7),WORKDAY(E7,D7,Holidays!A:A),E7+7-WEEKDAY(E7+7-J7))</f>
        <v>44362</v>
      </c>
      <c r="G7" t="s">
        <v>20</v>
      </c>
      <c r="I7">
        <v>1</v>
      </c>
      <c r="J7" s="10"/>
      <c r="K7" s="11"/>
      <c r="L7" s="11"/>
    </row>
    <row r="8" spans="1:12" x14ac:dyDescent="0.15">
      <c r="A8">
        <v>4</v>
      </c>
      <c r="B8" t="s">
        <v>16</v>
      </c>
      <c r="C8" s="9" t="s">
        <v>30</v>
      </c>
      <c r="D8">
        <v>1</v>
      </c>
      <c r="E8" s="11">
        <f>WORKDAY(MAX(F5,F6),I8,Holidays!A:A)</f>
        <v>44363</v>
      </c>
      <c r="F8" s="11">
        <f>IF(ISBLANK(J8),WORKDAY(E8,D8,Holidays!A:A),E8+7-WEEKDAY(E8+7-J8))</f>
        <v>44364</v>
      </c>
      <c r="G8" t="s">
        <v>21</v>
      </c>
      <c r="I8">
        <v>1</v>
      </c>
      <c r="J8" s="10"/>
      <c r="K8" s="11"/>
      <c r="L8" s="11"/>
    </row>
    <row r="9" spans="1:12" x14ac:dyDescent="0.15">
      <c r="A9">
        <v>5</v>
      </c>
      <c r="B9" t="s">
        <v>31</v>
      </c>
      <c r="C9" s="9" t="s">
        <v>25</v>
      </c>
      <c r="D9">
        <v>1</v>
      </c>
      <c r="E9" s="11">
        <f>WORKDAY(MAX(F6,F7),I9,Holidays!A:A)</f>
        <v>44363</v>
      </c>
      <c r="F9" s="11">
        <f>IF(ISBLANK(J9),WORKDAY(E9,D9,Holidays!A:A),E9+7-WEEKDAY(E9+7-J9))</f>
        <v>44364</v>
      </c>
      <c r="G9" t="s">
        <v>22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32</v>
      </c>
      <c r="C10" s="9" t="s">
        <v>33</v>
      </c>
      <c r="E10" s="11">
        <f>WORKDAY(MAX(F8,F9),I10,Holidays!A:A)</f>
        <v>44364</v>
      </c>
      <c r="F10" s="11">
        <f>IF(ISBLANK(J10),WORKDAY(E10,D10,Holidays!A:A),E10+7-WEEKDAY(E10+7-J10))</f>
        <v>44364</v>
      </c>
      <c r="G10" t="s">
        <v>23</v>
      </c>
      <c r="J10" s="10"/>
      <c r="K10" s="11"/>
      <c r="L10" s="11"/>
    </row>
    <row r="11" spans="1:12" x14ac:dyDescent="0.15">
      <c r="A11">
        <v>7</v>
      </c>
      <c r="B11" t="s">
        <v>34</v>
      </c>
      <c r="C11" s="9">
        <v>6</v>
      </c>
      <c r="E11" s="11">
        <f>WORKDAY(MAX(F10),I11,Holidays!A:A)</f>
        <v>44364</v>
      </c>
      <c r="F11" s="11">
        <f>IF(ISBLANK(J11),WORKDAY(E11,D11,Holidays!A:A),E11+7-WEEKDAY(E11+7-J11))</f>
        <v>44364</v>
      </c>
      <c r="G11" t="s">
        <v>24</v>
      </c>
      <c r="J11" s="10"/>
      <c r="K11" s="11"/>
      <c r="L11" s="11"/>
    </row>
    <row r="12" spans="1:12" x14ac:dyDescent="0.15">
      <c r="E12" s="11"/>
      <c r="F12" s="11"/>
      <c r="J12" s="10"/>
      <c r="K12" s="11"/>
      <c r="L12" s="11"/>
    </row>
    <row r="13" spans="1:12" x14ac:dyDescent="0.15">
      <c r="E13" s="11"/>
      <c r="F13" s="11"/>
      <c r="J13" s="10"/>
      <c r="K13" s="11"/>
      <c r="L13" s="11"/>
    </row>
    <row r="14" spans="1:12" x14ac:dyDescent="0.15">
      <c r="E14" s="11"/>
      <c r="F14" s="11"/>
      <c r="J14" s="10"/>
      <c r="K14" s="11"/>
      <c r="L14" s="11"/>
    </row>
    <row r="15" spans="1:12" x14ac:dyDescent="0.15">
      <c r="E15" s="11"/>
      <c r="F15" s="11"/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tabSelected="1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2021-06-11T05:02:28Z</dcterms:modified>
</cp:coreProperties>
</file>