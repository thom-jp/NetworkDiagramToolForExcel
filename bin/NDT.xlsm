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 activeTab="2"/>
  </bookViews>
  <sheets>
    <sheet name="Draw" sheetId="1" r:id="rId1"/>
    <sheet name="Data" sheetId="2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14" i="3" s="1"/>
  <c r="F14" i="3" s="1"/>
  <c r="E15" i="3" s="1"/>
  <c r="E9" i="3" l="1"/>
  <c r="F9" i="3" s="1"/>
  <c r="E10" i="3"/>
  <c r="F10" i="3" s="1"/>
  <c r="E11" i="3" s="1"/>
  <c r="F11" i="3" s="1"/>
  <c r="E5" i="3"/>
  <c r="F5" i="3" s="1"/>
  <c r="E12" i="3"/>
  <c r="F12" i="3" s="1"/>
  <c r="E13" i="3"/>
  <c r="F13" i="3" s="1"/>
  <c r="F15" i="3"/>
  <c r="E16" i="3" s="1"/>
  <c r="E8" i="3" l="1"/>
  <c r="F8" i="3" s="1"/>
  <c r="E6" i="3"/>
  <c r="F6" i="3" s="1"/>
  <c r="F16" i="3"/>
  <c r="E17" i="3" s="1"/>
  <c r="E7" i="3" l="1"/>
  <c r="F7" i="3" s="1"/>
  <c r="F17" i="3"/>
  <c r="E18" i="3" l="1"/>
  <c r="F18" i="3" s="1"/>
</calcChain>
</file>

<file path=xl/sharedStrings.xml><?xml version="1.0" encoding="utf-8"?>
<sst xmlns="http://schemas.openxmlformats.org/spreadsheetml/2006/main" count="48" uniqueCount="48">
  <si>
    <t>ID</t>
    <phoneticPr fontId="1"/>
  </si>
  <si>
    <t>Task Name</t>
    <phoneticPr fontId="1"/>
  </si>
  <si>
    <t>Task Registration</t>
    <phoneticPr fontId="1"/>
  </si>
  <si>
    <t>Dependency</t>
    <phoneticPr fontId="1"/>
  </si>
  <si>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</si>
  <si>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</si>
  <si>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</si>
  <si>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</si>
  <si>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</si>
  <si>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</si>
  <si>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</si>
  <si>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</si>
  <si>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START</t>
    <phoneticPr fontId="1"/>
  </si>
  <si>
    <t>END</t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</si>
  <si>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</si>
  <si>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</si>
  <si>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</si>
  <si>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</si>
  <si>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Numbering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</si>
  <si>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</si>
  <si>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</si>
  <si>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</si>
  <si>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</si>
  <si>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</si>
  <si>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</si>
  <si>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</si>
  <si>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Estimation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</si>
  <si>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</si>
  <si>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</si>
  <si>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</si>
  <si>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</si>
  <si>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2.床のモノを片付ける</t>
    <phoneticPr fontId="1"/>
  </si>
  <si>
    <t>4.机の掃除</t>
    <phoneticPr fontId="1"/>
  </si>
  <si>
    <t>6.消耗品チェック</t>
    <phoneticPr fontId="1"/>
  </si>
  <si>
    <t>11.洗濯物A</t>
    <phoneticPr fontId="1"/>
  </si>
  <si>
    <t>12.洗濯物Aを干す</t>
    <phoneticPr fontId="1"/>
  </si>
  <si>
    <t>7.消耗品発注</t>
    <phoneticPr fontId="1"/>
  </si>
  <si>
    <t>0.START</t>
    <phoneticPr fontId="1"/>
  </si>
  <si>
    <t>1.ゴミ捨て</t>
    <phoneticPr fontId="1"/>
  </si>
  <si>
    <t>3.床掃除ロボット実行</t>
    <phoneticPr fontId="1"/>
  </si>
  <si>
    <t>2,4</t>
    <phoneticPr fontId="1"/>
  </si>
  <si>
    <t>5.トイレ掃除</t>
    <phoneticPr fontId="1"/>
  </si>
  <si>
    <t>8.換気</t>
    <phoneticPr fontId="1"/>
  </si>
  <si>
    <t>9.風呂掃除</t>
    <phoneticPr fontId="1"/>
  </si>
  <si>
    <t>10.衣類の在庫確認</t>
    <phoneticPr fontId="1"/>
  </si>
  <si>
    <t>13.洗濯物B</t>
    <phoneticPr fontId="1"/>
  </si>
  <si>
    <t>14.END</t>
    <phoneticPr fontId="1"/>
  </si>
  <si>
    <t>3,4,5,7,8,9,13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</si>
</sst>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7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1</xdr:row>
          <xdr:rowOff>66675</xdr:rowOff>
        </xdr:from>
        <xdr:to>
          <xdr:col>3</xdr:col>
          <xdr:colOff>1609725</xdr:colOff>
          <xdr:row>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TestFeature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5</xdr:row>
          <xdr:rowOff>47625</xdr:rowOff>
        </xdr:from>
        <xdr:to>
          <xdr:col>3</xdr:col>
          <xdr:colOff>1609725</xdr:colOff>
          <xdr:row>8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1</xdr:row>
          <xdr:rowOff>47625</xdr:rowOff>
        </xdr:from>
        <xdr:to>
          <xdr:col>4</xdr:col>
          <xdr:colOff>1600200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Numbering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5</xdr:row>
          <xdr:rowOff>19050</xdr:rowOff>
        </xdr:from>
        <xdr:to>
          <xdr:col>4</xdr:col>
          <xdr:colOff>1600200</xdr:colOff>
          <xdr:row>8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DeNumbering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67236</xdr:colOff>
      <xdr:row>26</xdr:row>
      <xdr:rowOff>130735</xdr:rowOff>
    </xdr:from>
    <xdr:to>
      <xdr:col>0</xdr:col>
      <xdr:colOff>829236</xdr:colOff>
      <xdr:row>31</xdr:row>
      <xdr:rowOff>52294</xdr:rowOff>
    </xdr:to>
    <xdr:sp macro="" textlink="">
      <xdr:nvSpPr>
        <xdr:cNvPr id="2" name="円/楕円 1"/>
        <xdr:cNvSpPr/>
      </xdr:nvSpPr>
      <xdr:spPr>
        <a:xfrm>
          <a:off x="67236" y="4646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1654735</xdr:colOff>
      <xdr:row>11</xdr:row>
      <xdr:rowOff>7471</xdr:rowOff>
    </xdr:from>
    <xdr:to>
      <xdr:col>2</xdr:col>
      <xdr:colOff>601382</xdr:colOff>
      <xdr:row>15</xdr:row>
      <xdr:rowOff>97118</xdr:rowOff>
    </xdr:to>
    <xdr:sp macro="" textlink="">
      <xdr:nvSpPr>
        <xdr:cNvPr id="4" name="円/楕円 3"/>
        <xdr:cNvSpPr/>
      </xdr:nvSpPr>
      <xdr:spPr>
        <a:xfrm>
          <a:off x="3593353" y="200211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1</xdr:col>
      <xdr:colOff>911410</xdr:colOff>
      <xdr:row>46</xdr:row>
      <xdr:rowOff>164353</xdr:rowOff>
    </xdr:from>
    <xdr:to>
      <xdr:col>1</xdr:col>
      <xdr:colOff>1673410</xdr:colOff>
      <xdr:row>51</xdr:row>
      <xdr:rowOff>85912</xdr:rowOff>
    </xdr:to>
    <xdr:sp macro="" textlink="">
      <xdr:nvSpPr>
        <xdr:cNvPr id="6" name="円/楕円 5"/>
        <xdr:cNvSpPr/>
      </xdr:nvSpPr>
      <xdr:spPr>
        <a:xfrm>
          <a:off x="2850028" y="804208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1161674</xdr:colOff>
      <xdr:row>47</xdr:row>
      <xdr:rowOff>7469</xdr:rowOff>
    </xdr:from>
    <xdr:to>
      <xdr:col>2</xdr:col>
      <xdr:colOff>1923674</xdr:colOff>
      <xdr:row>51</xdr:row>
      <xdr:rowOff>97117</xdr:rowOff>
    </xdr:to>
    <xdr:sp macro="" textlink="">
      <xdr:nvSpPr>
        <xdr:cNvPr id="7" name="円/楕円 6"/>
        <xdr:cNvSpPr/>
      </xdr:nvSpPr>
      <xdr:spPr>
        <a:xfrm>
          <a:off x="4915645" y="805329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33616</xdr:colOff>
      <xdr:row>47</xdr:row>
      <xdr:rowOff>7470</xdr:rowOff>
    </xdr:from>
    <xdr:to>
      <xdr:col>2</xdr:col>
      <xdr:colOff>795616</xdr:colOff>
      <xdr:row>51</xdr:row>
      <xdr:rowOff>97118</xdr:rowOff>
    </xdr:to>
    <xdr:sp macro="" textlink="">
      <xdr:nvSpPr>
        <xdr:cNvPr id="8" name="円/楕円 7"/>
        <xdr:cNvSpPr/>
      </xdr:nvSpPr>
      <xdr:spPr>
        <a:xfrm>
          <a:off x="3787587" y="805329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1</xdr:col>
      <xdr:colOff>732118</xdr:colOff>
      <xdr:row>17</xdr:row>
      <xdr:rowOff>52295</xdr:rowOff>
    </xdr:from>
    <xdr:to>
      <xdr:col>1</xdr:col>
      <xdr:colOff>1494118</xdr:colOff>
      <xdr:row>21</xdr:row>
      <xdr:rowOff>141942</xdr:rowOff>
    </xdr:to>
    <xdr:sp macro="" textlink="">
      <xdr:nvSpPr>
        <xdr:cNvPr id="9" name="円/楕円 8"/>
        <xdr:cNvSpPr/>
      </xdr:nvSpPr>
      <xdr:spPr>
        <a:xfrm>
          <a:off x="2670736" y="3055471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1520266</xdr:colOff>
      <xdr:row>10</xdr:row>
      <xdr:rowOff>153147</xdr:rowOff>
    </xdr:from>
    <xdr:to>
      <xdr:col>1</xdr:col>
      <xdr:colOff>343648</xdr:colOff>
      <xdr:row>15</xdr:row>
      <xdr:rowOff>74706</xdr:rowOff>
    </xdr:to>
    <xdr:sp macro="" textlink="">
      <xdr:nvSpPr>
        <xdr:cNvPr id="10" name="円/楕円 9"/>
        <xdr:cNvSpPr/>
      </xdr:nvSpPr>
      <xdr:spPr>
        <a:xfrm>
          <a:off x="1520266" y="1979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2</xdr:col>
      <xdr:colOff>2566148</xdr:colOff>
      <xdr:row>21</xdr:row>
      <xdr:rowOff>52294</xdr:rowOff>
    </xdr:from>
    <xdr:to>
      <xdr:col>2</xdr:col>
      <xdr:colOff>3328148</xdr:colOff>
      <xdr:row>25</xdr:row>
      <xdr:rowOff>141941</xdr:rowOff>
    </xdr:to>
    <xdr:sp macro="" textlink="">
      <xdr:nvSpPr>
        <xdr:cNvPr id="11" name="円/楕円 10"/>
        <xdr:cNvSpPr/>
      </xdr:nvSpPr>
      <xdr:spPr>
        <a:xfrm>
          <a:off x="6320119" y="372782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14.EN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668617</xdr:colOff>
      <xdr:row>29</xdr:row>
      <xdr:rowOff>41089</xdr:rowOff>
    </xdr:from>
    <xdr:to>
      <xdr:col>1</xdr:col>
      <xdr:colOff>1430617</xdr:colOff>
      <xdr:row>33</xdr:row>
      <xdr:rowOff>130736</xdr:rowOff>
    </xdr:to>
    <xdr:sp macro="" textlink="">
      <xdr:nvSpPr>
        <xdr:cNvPr id="13" name="円/楕円 12"/>
        <xdr:cNvSpPr/>
      </xdr:nvSpPr>
      <xdr:spPr>
        <a:xfrm>
          <a:off x="2607235" y="506132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発注</a:t>
          </a:r>
        </a:p>
      </xdr:txBody>
    </xdr:sp>
    <xdr:clientData/>
  </xdr:twoCellAnchor>
  <xdr:twoCellAnchor>
    <xdr:from>
      <xdr:col>1</xdr:col>
      <xdr:colOff>676088</xdr:colOff>
      <xdr:row>11</xdr:row>
      <xdr:rowOff>29882</xdr:rowOff>
    </xdr:from>
    <xdr:to>
      <xdr:col>1</xdr:col>
      <xdr:colOff>1438088</xdr:colOff>
      <xdr:row>15</xdr:row>
      <xdr:rowOff>119529</xdr:rowOff>
    </xdr:to>
    <xdr:sp macro="" textlink="">
      <xdr:nvSpPr>
        <xdr:cNvPr id="3" name="円/楕円 2"/>
        <xdr:cNvSpPr/>
      </xdr:nvSpPr>
      <xdr:spPr>
        <a:xfrm>
          <a:off x="2614706" y="2024529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</a:p>
      </xdr:txBody>
    </xdr:sp>
    <xdr:clientData/>
  </xdr:twoCellAnchor>
  <xdr:twoCellAnchor>
    <xdr:from>
      <xdr:col>0</xdr:col>
      <xdr:colOff>1583764</xdr:colOff>
      <xdr:row>46</xdr:row>
      <xdr:rowOff>134471</xdr:rowOff>
    </xdr:from>
    <xdr:to>
      <xdr:col>1</xdr:col>
      <xdr:colOff>416111</xdr:colOff>
      <xdr:row>51</xdr:row>
      <xdr:rowOff>52669</xdr:rowOff>
    </xdr:to>
    <xdr:sp macro="" textlink="">
      <xdr:nvSpPr>
        <xdr:cNvPr id="5" name="円/楕円 4"/>
        <xdr:cNvSpPr/>
      </xdr:nvSpPr>
      <xdr:spPr>
        <a:xfrm>
          <a:off x="1583764" y="8164046"/>
          <a:ext cx="765922" cy="775448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衣類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の在庫確認</a:t>
          </a:r>
        </a:p>
      </xdr:txBody>
    </xdr:sp>
    <xdr:clientData/>
  </xdr:twoCellAnchor>
  <xdr:twoCellAnchor>
    <xdr:from>
      <xdr:col>0</xdr:col>
      <xdr:colOff>1583764</xdr:colOff>
      <xdr:row>29</xdr:row>
      <xdr:rowOff>4483</xdr:rowOff>
    </xdr:from>
    <xdr:to>
      <xdr:col>1</xdr:col>
      <xdr:colOff>412189</xdr:colOff>
      <xdr:row>33</xdr:row>
      <xdr:rowOff>94130</xdr:rowOff>
    </xdr:to>
    <xdr:sp macro="" textlink="">
      <xdr:nvSpPr>
        <xdr:cNvPr id="12" name="円/楕円 11"/>
        <xdr:cNvSpPr/>
      </xdr:nvSpPr>
      <xdr:spPr>
        <a:xfrm>
          <a:off x="1583764" y="5024718"/>
          <a:ext cx="767043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6.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チェック</a:t>
          </a:r>
        </a:p>
      </xdr:txBody>
    </xdr:sp>
    <xdr:clientData/>
  </xdr:twoCellAnchor>
  <xdr:twoCellAnchor>
    <xdr:from>
      <xdr:col>0</xdr:col>
      <xdr:colOff>1583764</xdr:colOff>
      <xdr:row>34</xdr:row>
      <xdr:rowOff>159871</xdr:rowOff>
    </xdr:from>
    <xdr:to>
      <xdr:col>1</xdr:col>
      <xdr:colOff>416671</xdr:colOff>
      <xdr:row>39</xdr:row>
      <xdr:rowOff>81429</xdr:rowOff>
    </xdr:to>
    <xdr:sp macro="" textlink="">
      <xdr:nvSpPr>
        <xdr:cNvPr id="14" name="円/楕円 13"/>
        <xdr:cNvSpPr/>
      </xdr:nvSpPr>
      <xdr:spPr>
        <a:xfrm>
          <a:off x="1583764" y="6020547"/>
          <a:ext cx="771525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0</xdr:col>
      <xdr:colOff>1583764</xdr:colOff>
      <xdr:row>40</xdr:row>
      <xdr:rowOff>147171</xdr:rowOff>
    </xdr:from>
    <xdr:to>
      <xdr:col>1</xdr:col>
      <xdr:colOff>414430</xdr:colOff>
      <xdr:row>45</xdr:row>
      <xdr:rowOff>68730</xdr:rowOff>
    </xdr:to>
    <xdr:sp macro="" textlink="">
      <xdr:nvSpPr>
        <xdr:cNvPr id="15" name="円/楕円 14"/>
        <xdr:cNvSpPr/>
      </xdr:nvSpPr>
      <xdr:spPr>
        <a:xfrm>
          <a:off x="1583764" y="7016377"/>
          <a:ext cx="769284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風呂掃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1583764</xdr:colOff>
      <xdr:row>23</xdr:row>
      <xdr:rowOff>17182</xdr:rowOff>
    </xdr:from>
    <xdr:to>
      <xdr:col>1</xdr:col>
      <xdr:colOff>414431</xdr:colOff>
      <xdr:row>27</xdr:row>
      <xdr:rowOff>110191</xdr:rowOff>
    </xdr:to>
    <xdr:sp macro="" textlink="">
      <xdr:nvSpPr>
        <xdr:cNvPr id="16" name="円/楕円 15"/>
        <xdr:cNvSpPr/>
      </xdr:nvSpPr>
      <xdr:spPr>
        <a:xfrm>
          <a:off x="1583764" y="4103407"/>
          <a:ext cx="764242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トイレ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0</xdr:col>
      <xdr:colOff>829236</xdr:colOff>
      <xdr:row>13</xdr:row>
      <xdr:rowOff>29882</xdr:rowOff>
    </xdr:from>
    <xdr:to>
      <xdr:col>0</xdr:col>
      <xdr:colOff>1520266</xdr:colOff>
      <xdr:row>29</xdr:row>
      <xdr:rowOff>7471</xdr:rowOff>
    </xdr:to>
    <xdr:cxnSp macro="">
      <xdr:nvCxnSpPr>
        <xdr:cNvPr id="25" name="直線矢印コネクタ 24"/>
        <xdr:cNvCxnSpPr>
          <a:stCxn id="2" idx="6"/>
          <a:endCxn id="10" idx="2"/>
        </xdr:cNvCxnSpPr>
      </xdr:nvCxnSpPr>
      <xdr:spPr>
        <a:xfrm flipV="1">
          <a:off x="829236" y="2360706"/>
          <a:ext cx="691030" cy="2667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49</xdr:row>
      <xdr:rowOff>9526</xdr:rowOff>
    </xdr:to>
    <xdr:cxnSp macro="">
      <xdr:nvCxnSpPr>
        <xdr:cNvPr id="26" name="直線矢印コネクタ 25"/>
        <xdr:cNvCxnSpPr>
          <a:stCxn id="2" idx="6"/>
          <a:endCxn id="5" idx="2"/>
        </xdr:cNvCxnSpPr>
      </xdr:nvCxnSpPr>
      <xdr:spPr>
        <a:xfrm>
          <a:off x="829236" y="5027706"/>
          <a:ext cx="754528" cy="336382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31</xdr:row>
      <xdr:rowOff>49306</xdr:rowOff>
    </xdr:to>
    <xdr:cxnSp macro="">
      <xdr:nvCxnSpPr>
        <xdr:cNvPr id="27" name="直線矢印コネクタ 26"/>
        <xdr:cNvCxnSpPr>
          <a:stCxn id="2" idx="6"/>
          <a:endCxn id="12" idx="2"/>
        </xdr:cNvCxnSpPr>
      </xdr:nvCxnSpPr>
      <xdr:spPr>
        <a:xfrm>
          <a:off x="829236" y="5027706"/>
          <a:ext cx="754528" cy="37801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37</xdr:row>
      <xdr:rowOff>36606</xdr:rowOff>
    </xdr:to>
    <xdr:cxnSp macro="">
      <xdr:nvCxnSpPr>
        <xdr:cNvPr id="28" name="直線矢印コネクタ 27"/>
        <xdr:cNvCxnSpPr>
          <a:stCxn id="2" idx="6"/>
          <a:endCxn id="14" idx="2"/>
        </xdr:cNvCxnSpPr>
      </xdr:nvCxnSpPr>
      <xdr:spPr>
        <a:xfrm>
          <a:off x="829236" y="5027706"/>
          <a:ext cx="754528" cy="137384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43</xdr:row>
      <xdr:rowOff>23906</xdr:rowOff>
    </xdr:to>
    <xdr:cxnSp macro="">
      <xdr:nvCxnSpPr>
        <xdr:cNvPr id="29" name="直線矢印コネクタ 28"/>
        <xdr:cNvCxnSpPr>
          <a:stCxn id="2" idx="6"/>
          <a:endCxn id="15" idx="2"/>
        </xdr:cNvCxnSpPr>
      </xdr:nvCxnSpPr>
      <xdr:spPr>
        <a:xfrm>
          <a:off x="829236" y="5027706"/>
          <a:ext cx="754528" cy="236967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25</xdr:row>
      <xdr:rowOff>63687</xdr:rowOff>
    </xdr:from>
    <xdr:to>
      <xdr:col>0</xdr:col>
      <xdr:colOff>1583764</xdr:colOff>
      <xdr:row>29</xdr:row>
      <xdr:rowOff>7471</xdr:rowOff>
    </xdr:to>
    <xdr:cxnSp macro="">
      <xdr:nvCxnSpPr>
        <xdr:cNvPr id="30" name="直線矢印コネクタ 29"/>
        <xdr:cNvCxnSpPr>
          <a:stCxn id="2" idx="6"/>
          <a:endCxn id="16" idx="2"/>
        </xdr:cNvCxnSpPr>
      </xdr:nvCxnSpPr>
      <xdr:spPr>
        <a:xfrm flipV="1">
          <a:off x="829236" y="4411569"/>
          <a:ext cx="754528" cy="61613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676088</xdr:colOff>
      <xdr:row>13</xdr:row>
      <xdr:rowOff>74706</xdr:rowOff>
    </xdr:to>
    <xdr:cxnSp macro="">
      <xdr:nvCxnSpPr>
        <xdr:cNvPr id="31" name="直線矢印コネクタ 30"/>
        <xdr:cNvCxnSpPr>
          <a:stCxn id="10" idx="6"/>
          <a:endCxn id="3" idx="2"/>
        </xdr:cNvCxnSpPr>
      </xdr:nvCxnSpPr>
      <xdr:spPr>
        <a:xfrm>
          <a:off x="2277223" y="2399927"/>
          <a:ext cx="332440" cy="4650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732118</xdr:colOff>
      <xdr:row>19</xdr:row>
      <xdr:rowOff>97119</xdr:rowOff>
    </xdr:to>
    <xdr:cxnSp macro="">
      <xdr:nvCxnSpPr>
        <xdr:cNvPr id="1024" name="直線矢印コネクタ 1023"/>
        <xdr:cNvCxnSpPr>
          <a:stCxn id="10" idx="6"/>
          <a:endCxn id="9" idx="2"/>
        </xdr:cNvCxnSpPr>
      </xdr:nvCxnSpPr>
      <xdr:spPr>
        <a:xfrm>
          <a:off x="2277223" y="2399927"/>
          <a:ext cx="388470" cy="109761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1438088</xdr:colOff>
      <xdr:row>13</xdr:row>
      <xdr:rowOff>52295</xdr:rowOff>
    </xdr:from>
    <xdr:to>
      <xdr:col>1</xdr:col>
      <xdr:colOff>1654735</xdr:colOff>
      <xdr:row>13</xdr:row>
      <xdr:rowOff>74706</xdr:rowOff>
    </xdr:to>
    <xdr:cxnSp macro="">
      <xdr:nvCxnSpPr>
        <xdr:cNvPr id="1026" name="直線矢印コネクタ 1025"/>
        <xdr:cNvCxnSpPr>
          <a:stCxn id="3" idx="6"/>
          <a:endCxn id="4" idx="2"/>
        </xdr:cNvCxnSpPr>
      </xdr:nvCxnSpPr>
      <xdr:spPr>
        <a:xfrm flipV="1">
          <a:off x="3371663" y="2424020"/>
          <a:ext cx="216647" cy="2241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601382</xdr:colOff>
      <xdr:row>13</xdr:row>
      <xdr:rowOff>52294</xdr:rowOff>
    </xdr:from>
    <xdr:to>
      <xdr:col>2</xdr:col>
      <xdr:colOff>2566148</xdr:colOff>
      <xdr:row>23</xdr:row>
      <xdr:rowOff>97117</xdr:rowOff>
    </xdr:to>
    <xdr:cxnSp macro="">
      <xdr:nvCxnSpPr>
        <xdr:cNvPr id="1038" name="直線矢印コネクタ 1037"/>
        <xdr:cNvCxnSpPr>
          <a:stCxn id="4" idx="6"/>
          <a:endCxn id="11" idx="2"/>
        </xdr:cNvCxnSpPr>
      </xdr:nvCxnSpPr>
      <xdr:spPr>
        <a:xfrm>
          <a:off x="4355353" y="2383118"/>
          <a:ext cx="1964766" cy="172570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19</xdr:row>
      <xdr:rowOff>97118</xdr:rowOff>
    </xdr:from>
    <xdr:to>
      <xdr:col>2</xdr:col>
      <xdr:colOff>2566148</xdr:colOff>
      <xdr:row>23</xdr:row>
      <xdr:rowOff>97117</xdr:rowOff>
    </xdr:to>
    <xdr:cxnSp macro="">
      <xdr:nvCxnSpPr>
        <xdr:cNvPr id="1039" name="直線矢印コネクタ 1038"/>
        <xdr:cNvCxnSpPr>
          <a:stCxn id="9" idx="6"/>
          <a:endCxn id="11" idx="2"/>
        </xdr:cNvCxnSpPr>
      </xdr:nvCxnSpPr>
      <xdr:spPr>
        <a:xfrm>
          <a:off x="3432736" y="3436471"/>
          <a:ext cx="2887383" cy="67235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416111</xdr:colOff>
      <xdr:row>49</xdr:row>
      <xdr:rowOff>9526</xdr:rowOff>
    </xdr:from>
    <xdr:to>
      <xdr:col>1</xdr:col>
      <xdr:colOff>911410</xdr:colOff>
      <xdr:row>49</xdr:row>
      <xdr:rowOff>41088</xdr:rowOff>
    </xdr:to>
    <xdr:cxnSp macro="">
      <xdr:nvCxnSpPr>
        <xdr:cNvPr id="1042" name="直線矢印コネクタ 1041"/>
        <xdr:cNvCxnSpPr>
          <a:stCxn id="5" idx="6"/>
          <a:endCxn id="6" idx="2"/>
        </xdr:cNvCxnSpPr>
      </xdr:nvCxnSpPr>
      <xdr:spPr>
        <a:xfrm>
          <a:off x="2354729" y="8391526"/>
          <a:ext cx="495299" cy="3156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1673410</xdr:colOff>
      <xdr:row>49</xdr:row>
      <xdr:rowOff>41088</xdr:rowOff>
    </xdr:from>
    <xdr:to>
      <xdr:col>2</xdr:col>
      <xdr:colOff>33616</xdr:colOff>
      <xdr:row>49</xdr:row>
      <xdr:rowOff>52294</xdr:rowOff>
    </xdr:to>
    <xdr:cxnSp macro="">
      <xdr:nvCxnSpPr>
        <xdr:cNvPr id="1043" name="直線矢印コネクタ 1042"/>
        <xdr:cNvCxnSpPr>
          <a:stCxn id="6" idx="6"/>
          <a:endCxn id="8" idx="2"/>
        </xdr:cNvCxnSpPr>
      </xdr:nvCxnSpPr>
      <xdr:spPr>
        <a:xfrm>
          <a:off x="3612028" y="8423088"/>
          <a:ext cx="175559" cy="112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795616</xdr:colOff>
      <xdr:row>49</xdr:row>
      <xdr:rowOff>52293</xdr:rowOff>
    </xdr:from>
    <xdr:to>
      <xdr:col>2</xdr:col>
      <xdr:colOff>1161674</xdr:colOff>
      <xdr:row>49</xdr:row>
      <xdr:rowOff>52294</xdr:rowOff>
    </xdr:to>
    <xdr:cxnSp macro="">
      <xdr:nvCxnSpPr>
        <xdr:cNvPr id="1044" name="直線矢印コネクタ 1043"/>
        <xdr:cNvCxnSpPr>
          <a:stCxn id="8" idx="6"/>
          <a:endCxn id="7" idx="2"/>
        </xdr:cNvCxnSpPr>
      </xdr:nvCxnSpPr>
      <xdr:spPr>
        <a:xfrm flipV="1">
          <a:off x="4549587" y="8434293"/>
          <a:ext cx="366058" cy="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1923674</xdr:colOff>
      <xdr:row>23</xdr:row>
      <xdr:rowOff>97117</xdr:rowOff>
    </xdr:from>
    <xdr:to>
      <xdr:col>2</xdr:col>
      <xdr:colOff>2566148</xdr:colOff>
      <xdr:row>49</xdr:row>
      <xdr:rowOff>52293</xdr:rowOff>
    </xdr:to>
    <xdr:cxnSp macro="">
      <xdr:nvCxnSpPr>
        <xdr:cNvPr id="1045" name="直線矢印コネクタ 1044"/>
        <xdr:cNvCxnSpPr>
          <a:stCxn id="7" idx="6"/>
          <a:endCxn id="11" idx="2"/>
        </xdr:cNvCxnSpPr>
      </xdr:nvCxnSpPr>
      <xdr:spPr>
        <a:xfrm flipV="1">
          <a:off x="5677645" y="4108823"/>
          <a:ext cx="642474" cy="432547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412189</xdr:colOff>
      <xdr:row>31</xdr:row>
      <xdr:rowOff>49307</xdr:rowOff>
    </xdr:from>
    <xdr:to>
      <xdr:col>1</xdr:col>
      <xdr:colOff>668617</xdr:colOff>
      <xdr:row>31</xdr:row>
      <xdr:rowOff>85913</xdr:rowOff>
    </xdr:to>
    <xdr:cxnSp macro="">
      <xdr:nvCxnSpPr>
        <xdr:cNvPr id="1046" name="直線矢印コネクタ 1045"/>
        <xdr:cNvCxnSpPr>
          <a:stCxn id="12" idx="6"/>
          <a:endCxn id="13" idx="2"/>
        </xdr:cNvCxnSpPr>
      </xdr:nvCxnSpPr>
      <xdr:spPr>
        <a:xfrm>
          <a:off x="2345764" y="5507132"/>
          <a:ext cx="256428" cy="366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1430617</xdr:colOff>
      <xdr:row>23</xdr:row>
      <xdr:rowOff>97118</xdr:rowOff>
    </xdr:from>
    <xdr:to>
      <xdr:col>2</xdr:col>
      <xdr:colOff>2566148</xdr:colOff>
      <xdr:row>31</xdr:row>
      <xdr:rowOff>85913</xdr:rowOff>
    </xdr:to>
    <xdr:cxnSp macro="">
      <xdr:nvCxnSpPr>
        <xdr:cNvPr id="1056" name="直線矢印コネクタ 1055"/>
        <xdr:cNvCxnSpPr>
          <a:stCxn id="13" idx="6"/>
          <a:endCxn id="11" idx="2"/>
        </xdr:cNvCxnSpPr>
      </xdr:nvCxnSpPr>
      <xdr:spPr>
        <a:xfrm flipV="1">
          <a:off x="3364192" y="4183343"/>
          <a:ext cx="2954806" cy="136039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414430</xdr:colOff>
      <xdr:row>23</xdr:row>
      <xdr:rowOff>97118</xdr:rowOff>
    </xdr:from>
    <xdr:to>
      <xdr:col>2</xdr:col>
      <xdr:colOff>2566148</xdr:colOff>
      <xdr:row>43</xdr:row>
      <xdr:rowOff>22226</xdr:rowOff>
    </xdr:to>
    <xdr:cxnSp macro="">
      <xdr:nvCxnSpPr>
        <xdr:cNvPr id="1067" name="直線矢印コネクタ 1066"/>
        <xdr:cNvCxnSpPr>
          <a:stCxn id="15" idx="6"/>
          <a:endCxn id="11" idx="2"/>
        </xdr:cNvCxnSpPr>
      </xdr:nvCxnSpPr>
      <xdr:spPr>
        <a:xfrm flipV="1">
          <a:off x="2348005" y="4183343"/>
          <a:ext cx="3970993" cy="335410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416671</xdr:colOff>
      <xdr:row>23</xdr:row>
      <xdr:rowOff>97118</xdr:rowOff>
    </xdr:from>
    <xdr:to>
      <xdr:col>2</xdr:col>
      <xdr:colOff>2566148</xdr:colOff>
      <xdr:row>37</xdr:row>
      <xdr:rowOff>34925</xdr:rowOff>
    </xdr:to>
    <xdr:cxnSp macro="">
      <xdr:nvCxnSpPr>
        <xdr:cNvPr id="1068" name="直線矢印コネクタ 1067"/>
        <xdr:cNvCxnSpPr>
          <a:stCxn id="14" idx="6"/>
          <a:endCxn id="11" idx="2"/>
        </xdr:cNvCxnSpPr>
      </xdr:nvCxnSpPr>
      <xdr:spPr>
        <a:xfrm flipV="1">
          <a:off x="2350246" y="4183343"/>
          <a:ext cx="3968752" cy="233810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414431</xdr:colOff>
      <xdr:row>23</xdr:row>
      <xdr:rowOff>97118</xdr:rowOff>
    </xdr:from>
    <xdr:to>
      <xdr:col>2</xdr:col>
      <xdr:colOff>2566148</xdr:colOff>
      <xdr:row>25</xdr:row>
      <xdr:rowOff>63687</xdr:rowOff>
    </xdr:to>
    <xdr:cxnSp macro="">
      <xdr:nvCxnSpPr>
        <xdr:cNvPr id="1069" name="直線矢印コネクタ 1068"/>
        <xdr:cNvCxnSpPr>
          <a:stCxn id="16" idx="6"/>
          <a:endCxn id="11" idx="2"/>
        </xdr:cNvCxnSpPr>
      </xdr:nvCxnSpPr>
      <xdr:spPr>
        <a:xfrm flipV="1">
          <a:off x="2348006" y="4183343"/>
          <a:ext cx="3970992" cy="30946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13</xdr:row>
      <xdr:rowOff>52295</xdr:rowOff>
    </xdr:from>
    <xdr:to>
      <xdr:col>1</xdr:col>
      <xdr:colOff>1654735</xdr:colOff>
      <xdr:row>19</xdr:row>
      <xdr:rowOff>97119</xdr:rowOff>
    </xdr:to>
    <xdr:cxnSp macro="">
      <xdr:nvCxnSpPr>
        <xdr:cNvPr id="17" name="直線矢印コネクタ 16"/>
        <xdr:cNvCxnSpPr>
          <a:stCxn id="9" idx="6"/>
          <a:endCxn id="4" idx="2"/>
        </xdr:cNvCxnSpPr>
      </xdr:nvCxnSpPr>
      <xdr:spPr>
        <a:xfrm flipV="1">
          <a:off x="3427693" y="2424020"/>
          <a:ext cx="160617" cy="107352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/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3</xdr:col>
                    <xdr:colOff>180975</xdr:colOff>
                    <xdr:row>1</xdr:row>
                    <xdr:rowOff>66675</xdr:rowOff>
                  </from>
                  <to>
                    <xdr:col>3</xdr:col>
                    <xdr:colOff>1609725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3</xdr:col>
                    <xdr:colOff>180975</xdr:colOff>
                    <xdr:row>5</xdr:row>
                    <xdr:rowOff>47625</xdr:rowOff>
                  </from>
                  <to>
                    <xdr:col>3</xdr:col>
                    <xdr:colOff>1609725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4</xdr:col>
                    <xdr:colOff>161925</xdr:colOff>
                    <xdr:row>1</xdr:row>
                    <xdr:rowOff>47625</xdr:rowOff>
                  </from>
                  <to>
                    <xdr:col>4</xdr:col>
                    <xdr:colOff>1600200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4</xdr:col>
                    <xdr:colOff>161925</xdr:colOff>
                    <xdr:row>5</xdr:row>
                    <xdr:rowOff>19050</xdr:rowOff>
                  </from>
                  <to>
                    <xdr:col>4</xdr:col>
                    <xdr:colOff>1600200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Sheet"/>
  <dimension ref="A1:D18"/>
  <sheetViews>
    <sheetView workbookViewId="0"/>
  </sheetViews>
  <sheetFormatPr defaultRowHeight="13.5" x14ac:dyDescent="0.15"/>
  <cols>
    <col min="1" max="1" width="1.25" customWidth="1"/>
    <col min="2" max="2" width="3.5" bestFit="1" customWidth="1"/>
    <col min="3" max="3" width="23.5" customWidth="1"/>
    <col min="4" max="4" width="13.125" bestFit="1" customWidth="1"/>
  </cols>
  <sheetData>
    <row r="1" spans="1:4" s="2" customFormat="1" ht="42" x14ac:dyDescent="0.15">
      <c r="A1" s="1" t="s">
        <v>2</v>
      </c>
    </row>
    <row r="3" spans="1:4" x14ac:dyDescent="0.15">
      <c r="B3" s="3" t="s">
        <v>0</v>
      </c>
      <c r="C3" s="3" t="s">
        <v>1</v>
      </c>
      <c r="D3" s="3" t="s">
        <v>3</v>
      </c>
    </row>
    <row r="4" spans="1:4" x14ac:dyDescent="0.15">
      <c r="B4">
        <v>0</v>
      </c>
      <c r="C4" t="s">
        <v>12</v>
      </c>
    </row>
    <row r="5" spans="1:4" x14ac:dyDescent="0.15">
      <c r="B5">
        <v>1</v>
      </c>
      <c r="C5" t="s">
        <v>4</v>
      </c>
    </row>
    <row r="6" spans="1:4" x14ac:dyDescent="0.15">
      <c r="B6">
        <v>2</v>
      </c>
      <c r="C6" t="s">
        <v>5</v>
      </c>
    </row>
    <row r="7" spans="1:4" x14ac:dyDescent="0.15">
      <c r="B7">
        <v>3</v>
      </c>
      <c r="C7" t="s">
        <v>6</v>
      </c>
    </row>
    <row r="8" spans="1:4" x14ac:dyDescent="0.15">
      <c r="B8">
        <v>4</v>
      </c>
      <c r="C8" t="s">
        <v>7</v>
      </c>
    </row>
    <row r="9" spans="1:4" x14ac:dyDescent="0.15">
      <c r="B9">
        <v>5</v>
      </c>
      <c r="C9" t="s">
        <v>8</v>
      </c>
    </row>
    <row r="10" spans="1:4" x14ac:dyDescent="0.15">
      <c r="B10">
        <v>6</v>
      </c>
      <c r="C10" t="s">
        <v>9</v>
      </c>
    </row>
    <row r="11" spans="1:4" x14ac:dyDescent="0.15">
      <c r="B11">
        <v>7</v>
      </c>
      <c r="C11" t="s">
        <v>10</v>
      </c>
    </row>
    <row r="12" spans="1:4" x14ac:dyDescent="0.15">
      <c r="B12">
        <v>8</v>
      </c>
      <c r="C12" t="s">
        <v>11</v>
      </c>
    </row>
    <row r="13" spans="1:4" x14ac:dyDescent="0.15">
      <c r="B13">
        <v>9</v>
      </c>
      <c r="C13" t="s">
        <v>13</v>
      </c>
    </row>
    <row r="14" spans="1:4" x14ac:dyDescent="0.15">
      <c r="B14">
        <v>10</v>
      </c>
      <c r="C14" t="s">
        <v>21</v>
      </c>
    </row>
    <row r="15" spans="1:4" x14ac:dyDescent="0.15">
      <c r="B15">
        <v>11</v>
      </c>
      <c r="C15" t="s">
        <v>22</v>
      </c>
    </row>
    <row r="16" spans="1:4" x14ac:dyDescent="0.15">
      <c r="B16">
        <v>12</v>
      </c>
      <c r="C16" t="s">
        <v>23</v>
      </c>
    </row>
    <row r="17" spans="2:3" x14ac:dyDescent="0.15">
      <c r="B17">
        <v>13</v>
      </c>
      <c r="C17" t="s">
        <v>19</v>
      </c>
    </row>
    <row r="18" spans="2:3" x14ac:dyDescent="0.15">
      <c r="B18">
        <v>14</v>
      </c>
      <c r="C18" t="s">
        <v>20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cheduleSheet"/>
  <dimension ref="A1:F18"/>
  <sheetViews>
    <sheetView tabSelected="1"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3.125" bestFit="1" customWidth="1"/>
    <col min="4" max="4" width="11.2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30</v>
      </c>
    </row>
    <row r="3" spans="1:6" x14ac:dyDescent="0.15">
      <c r="A3" s="3" t="s">
        <v>24</v>
      </c>
      <c r="B3" s="3" t="s">
        <v>25</v>
      </c>
      <c r="C3" s="3" t="s">
        <v>29</v>
      </c>
      <c r="D3" s="3" t="s">
        <v>26</v>
      </c>
      <c r="E3" s="3" t="s">
        <v>27</v>
      </c>
      <c r="F3" s="3" t="s">
        <v>28</v>
      </c>
    </row>
    <row r="4" spans="1:6" x14ac:dyDescent="0.15">
      <c r="B4" t="s">
        <v>37</v>
      </c>
      <c r="D4">
        <v>2</v>
      </c>
      <c r="E4" s="8">
        <v>44316</v>
      </c>
      <c r="F4" s="8">
        <f>WORKDAY(E4,D4,Holidays!A:A)</f>
        <v>44323</v>
      </c>
    </row>
    <row r="5" spans="1:6" x14ac:dyDescent="0.15">
      <c r="B5" t="s">
        <v>38</v>
      </c>
      <c r="C5">
        <v>0</v>
      </c>
      <c r="D5">
        <v>1</v>
      </c>
      <c r="E5" s="8">
        <f>WORKDAY(MAX(F4),1,Holidays!A:A)</f>
        <v>44326</v>
      </c>
      <c r="F5" s="8">
        <f>WORKDAY(E5,D5,Holidays!A:A)</f>
        <v>44327</v>
      </c>
    </row>
    <row r="6" spans="1:6" x14ac:dyDescent="0.15">
      <c r="B6" t="s">
        <v>31</v>
      </c>
      <c r="C6">
        <v>1</v>
      </c>
      <c r="D6">
        <v>1</v>
      </c>
      <c r="E6" s="8">
        <f>WORKDAY(MAX(F5),1,Holidays!A:A)</f>
        <v>44328</v>
      </c>
      <c r="F6" s="8">
        <f>WORKDAY(E6,D6,Holidays!A:A)</f>
        <v>44329</v>
      </c>
    </row>
    <row r="7" spans="1:6" x14ac:dyDescent="0.15">
      <c r="B7" t="s">
        <v>39</v>
      </c>
      <c r="C7" t="s">
        <v>40</v>
      </c>
      <c r="D7">
        <v>1</v>
      </c>
      <c r="E7" s="8">
        <f>WORKDAY(MAX(F6,F8),1,Holidays!A:A)</f>
        <v>44330</v>
      </c>
      <c r="F7" s="8">
        <f>WORKDAY(E7,D7,Holidays!A:A)</f>
        <v>44333</v>
      </c>
    </row>
    <row r="8" spans="1:6" x14ac:dyDescent="0.15">
      <c r="B8" t="s">
        <v>32</v>
      </c>
      <c r="C8">
        <v>1</v>
      </c>
      <c r="D8">
        <v>1</v>
      </c>
      <c r="E8" s="8">
        <f>WORKDAY(MAX(F5),1,Holidays!A:A)</f>
        <v>44328</v>
      </c>
      <c r="F8" s="8">
        <f>WORKDAY(E8,D8,Holidays!A:A)</f>
        <v>44329</v>
      </c>
    </row>
    <row r="9" spans="1:6" x14ac:dyDescent="0.15">
      <c r="B9" t="s">
        <v>41</v>
      </c>
      <c r="C9">
        <v>0</v>
      </c>
      <c r="D9">
        <v>1</v>
      </c>
      <c r="E9" s="8">
        <f>WORKDAY(MAX(F4),1,Holidays!A:A)</f>
        <v>44326</v>
      </c>
      <c r="F9" s="8">
        <f>WORKDAY(E9,D9,Holidays!A:A)</f>
        <v>44327</v>
      </c>
    </row>
    <row r="10" spans="1:6" x14ac:dyDescent="0.15">
      <c r="B10" t="s">
        <v>33</v>
      </c>
      <c r="C10">
        <v>0</v>
      </c>
      <c r="D10">
        <v>1</v>
      </c>
      <c r="E10" s="8">
        <f>WORKDAY(MAX(F4),1,Holidays!A:A)</f>
        <v>44326</v>
      </c>
      <c r="F10" s="8">
        <f>WORKDAY(E10,D10,Holidays!A:A)</f>
        <v>44327</v>
      </c>
    </row>
    <row r="11" spans="1:6" x14ac:dyDescent="0.15">
      <c r="B11" t="s">
        <v>36</v>
      </c>
      <c r="C11">
        <v>6</v>
      </c>
      <c r="D11">
        <v>6</v>
      </c>
      <c r="E11" s="8">
        <f>WORKDAY(MAX(F10),1,Holidays!A:A)</f>
        <v>44328</v>
      </c>
      <c r="F11" s="8">
        <f>WORKDAY(E11,D11,Holidays!A:A)</f>
        <v>44336</v>
      </c>
    </row>
    <row r="12" spans="1:6" x14ac:dyDescent="0.15">
      <c r="B12" t="s">
        <v>42</v>
      </c>
      <c r="C12">
        <v>0</v>
      </c>
      <c r="D12">
        <v>1</v>
      </c>
      <c r="E12" s="8">
        <f>WORKDAY(MAX(F4),1,Holidays!A:A)</f>
        <v>44326</v>
      </c>
      <c r="F12" s="8">
        <f>WORKDAY(E12,D12,Holidays!A:A)</f>
        <v>44327</v>
      </c>
    </row>
    <row r="13" spans="1:6" x14ac:dyDescent="0.15">
      <c r="B13" t="s">
        <v>43</v>
      </c>
      <c r="C13">
        <v>0</v>
      </c>
      <c r="D13">
        <v>1</v>
      </c>
      <c r="E13" s="8">
        <f>WORKDAY(MAX(F4),1,Holidays!A:A)</f>
        <v>44326</v>
      </c>
      <c r="F13" s="8">
        <f>WORKDAY(E13,D13,Holidays!A:A)</f>
        <v>44327</v>
      </c>
    </row>
    <row r="14" spans="1:6" x14ac:dyDescent="0.15">
      <c r="B14" t="s">
        <v>44</v>
      </c>
      <c r="C14">
        <v>0</v>
      </c>
      <c r="D14">
        <v>1</v>
      </c>
      <c r="E14" s="8">
        <f>WORKDAY(MAX(F4),1,Holidays!A:A)</f>
        <v>44326</v>
      </c>
      <c r="F14" s="8">
        <f>WORKDAY(E14,D14,Holidays!A:A)</f>
        <v>44327</v>
      </c>
    </row>
    <row r="15" spans="1:6" x14ac:dyDescent="0.15">
      <c r="B15" t="s">
        <v>34</v>
      </c>
      <c r="C15">
        <v>10</v>
      </c>
      <c r="D15">
        <v>9</v>
      </c>
      <c r="E15" s="8">
        <f>WORKDAY(MAX(F14),1,Holidays!A:A)</f>
        <v>44328</v>
      </c>
      <c r="F15" s="8">
        <f>WORKDAY(E15,D15,Holidays!A:A)</f>
        <v>44341</v>
      </c>
    </row>
    <row r="16" spans="1:6" x14ac:dyDescent="0.15">
      <c r="B16" t="s">
        <v>35</v>
      </c>
      <c r="C16">
        <v>11</v>
      </c>
      <c r="D16">
        <v>1</v>
      </c>
      <c r="E16" s="8">
        <f>WORKDAY(MAX(F15),1,Holidays!A:A)</f>
        <v>44342</v>
      </c>
      <c r="F16" s="8">
        <f>WORKDAY(E16,D16,Holidays!A:A)</f>
        <v>44343</v>
      </c>
    </row>
    <row r="17" spans="2:6" x14ac:dyDescent="0.15">
      <c r="B17" t="s">
        <v>45</v>
      </c>
      <c r="C17">
        <v>12</v>
      </c>
      <c r="D17">
        <v>1</v>
      </c>
      <c r="E17" s="8">
        <f>WORKDAY(MAX(F16),1,Holidays!A:A)</f>
        <v>44344</v>
      </c>
      <c r="F17" s="8">
        <f>WORKDAY(E17,D17,Holidays!A:A)</f>
        <v>44347</v>
      </c>
    </row>
    <row r="18" spans="2:6" x14ac:dyDescent="0.15">
      <c r="B18" t="s">
        <v>46</v>
      </c>
      <c r="C18" t="s">
        <v>47</v>
      </c>
      <c r="D18">
        <v>1</v>
      </c>
      <c r="E18" s="8">
        <f>WORKDAY(MAX(F7,F8,F9,F11,F12,F13,F17),1,Holidays!A:A)</f>
        <v>44348</v>
      </c>
      <c r="F18" s="8">
        <f>WORKDAY(E18,D18,Holidays!A:A)</f>
        <v>44349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Draw</vt:lpstr>
      <vt:lpstr>Data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2021-05-24T13:33:07Z</dcterms:modified>
</cp:coreProperties>
</file>