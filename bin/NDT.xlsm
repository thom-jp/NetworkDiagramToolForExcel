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Schedule" sheetId="3" r:id="rId1"/>
    <sheet name="Draw" sheetId="1" r:id="rId2"/>
    <sheet name="Holidays" sheetId="4" r:id="rId3"/>
    <sheet name="Issue" sheetId="5" r:id="rId4"/>
  </sheets>
  <functionGroups builtInGroupCount="18"/>
  <definedNames>
    <definedName name="_xlnm._FilterDatabase" localSheetId="0" hidden="1">Schedule!$A$3:$H$19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3" l="1"/>
  <c r="E17" i="3" s="1"/>
  <c r="F17" i="3" s="1"/>
  <c r="E15" i="3"/>
  <c r="F15" i="3" s="1"/>
  <c r="E16" i="3" l="1"/>
  <c r="F16" i="3" s="1"/>
  <c r="E14" i="3" s="1"/>
  <c r="F14" i="3" s="1"/>
  <c r="E12" i="3" s="1"/>
  <c r="F12" i="3" s="1"/>
  <c r="E18" i="3"/>
  <c r="F18" i="3" s="1"/>
  <c r="E13" i="3" s="1"/>
  <c r="F13" i="3" s="1"/>
  <c r="E11" i="3" l="1"/>
  <c r="F11" i="3" s="1"/>
  <c r="E10" i="3"/>
  <c r="F10" i="3" s="1"/>
  <c r="E9" i="3" s="1"/>
  <c r="F9" i="3" s="1"/>
  <c r="E8" i="3" s="1"/>
  <c r="F8" i="3" s="1"/>
  <c r="E6" i="3" l="1"/>
  <c r="F6" i="3" s="1"/>
  <c r="E7" i="3"/>
  <c r="F7" i="3" s="1"/>
  <c r="E5" i="3" s="1"/>
  <c r="F5" i="3" s="1"/>
  <c r="E4" i="3" s="1"/>
  <c r="F4" i="3" s="1"/>
</calcChain>
</file>

<file path=xl/sharedStrings.xml><?xml version="1.0" encoding="utf-8"?>
<sst xmlns="http://schemas.openxmlformats.org/spreadsheetml/2006/main" count="87" uniqueCount="78">
  <si>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</si>
  <si>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</si>
  <si>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</si>
  <si>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</si>
  <si>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</si>
  <si>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</si>
  <si>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</si>
  <si>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</si>
  <si>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</si>
  <si>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</si>
  <si>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</si>
  <si>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</si>
  <si>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Shape Names in Draw sheet</t>
    <phoneticPr fontId="1"/>
  </si>
  <si>
    <t>No</t>
    <phoneticPr fontId="1"/>
  </si>
  <si>
    <t>内容</t>
    <rPh sb="0" eb="2">
      <t>ナイヨウ</t>
    </rPh>
    <phoneticPr fontId="1"/>
  </si>
  <si>
    <t>PlotTaskをしたときに、先頭に付加されたNumberが外れる問題</t>
    <rPh sb="15" eb="17">
      <t>セントウ</t>
    </rPh>
    <rPh sb="18" eb="20">
      <t>フカ</t>
    </rPh>
    <rPh sb="30" eb="31">
      <t>ハズ</t>
    </rPh>
    <rPh sb="33" eb="35">
      <t>モンダイ</t>
    </rPh>
    <phoneticPr fontId="1"/>
  </si>
  <si>
    <t>解決案</t>
    <rPh sb="0" eb="2">
      <t>カイケツ</t>
    </rPh>
    <rPh sb="2" eb="3">
      <t>アン</t>
    </rPh>
    <phoneticPr fontId="1"/>
  </si>
  <si>
    <t>A) ShapeからNumberを読み取って保持する処理
メリット：シンプル
B) TaskList上でNumberを保持する処理
メリット：ナンバーの書き換えがタスクリストでできる。それによってタスクリスト上の並び替えもできる。</t>
    <rPh sb="17" eb="18">
      <t>ヨ</t>
    </rPh>
    <rPh sb="19" eb="20">
      <t>ト</t>
    </rPh>
    <rPh sb="22" eb="24">
      <t>ホジ</t>
    </rPh>
    <rPh sb="26" eb="28">
      <t>ショリ</t>
    </rPh>
    <rPh sb="50" eb="51">
      <t>ジョウ</t>
    </rPh>
    <rPh sb="59" eb="61">
      <t>ホジ</t>
    </rPh>
    <rPh sb="63" eb="65">
      <t>ショリ</t>
    </rPh>
    <rPh sb="76" eb="77">
      <t>カ</t>
    </rPh>
    <rPh sb="78" eb="79">
      <t>カ</t>
    </rPh>
    <rPh sb="104" eb="105">
      <t>ジョウ</t>
    </rPh>
    <rPh sb="106" eb="107">
      <t>ナラ</t>
    </rPh>
    <rPh sb="108" eb="109">
      <t>カ</t>
    </rPh>
    <phoneticPr fontId="1"/>
  </si>
  <si>
    <t>PlotTaskをしたときに、タスクリスト管理外のOvalを削除しない問題</t>
    <rPh sb="21" eb="24">
      <t>カンリガイ</t>
    </rPh>
    <rPh sb="30" eb="32">
      <t>サクジョ</t>
    </rPh>
    <rPh sb="35" eb="37">
      <t>モンダイ</t>
    </rPh>
    <phoneticPr fontId="1"/>
  </si>
  <si>
    <t>ステータス</t>
    <phoneticPr fontId="1"/>
  </si>
  <si>
    <t>タスクリストから検索させてRemoveする</t>
    <rPh sb="8" eb="10">
      <t>ケンサク</t>
    </rPh>
    <phoneticPr fontId="1"/>
  </si>
  <si>
    <t>Done</t>
    <phoneticPr fontId="1"/>
  </si>
  <si>
    <t>Done with B</t>
    <phoneticPr fontId="1"/>
  </si>
  <si>
    <t>ScheduleシートとTaskListシートを一本にまとめる</t>
    <rPh sb="24" eb="26">
      <t>イッポン</t>
    </rPh>
    <phoneticPr fontId="1"/>
  </si>
  <si>
    <t>Oval 1275</t>
  </si>
  <si>
    <t>Oval 1276</t>
  </si>
  <si>
    <t>Oval 1277</t>
  </si>
  <si>
    <t>Oval 1278</t>
  </si>
  <si>
    <t>Oval 1279</t>
  </si>
  <si>
    <t>Oval 1281</t>
  </si>
  <si>
    <t>Oval 1282</t>
  </si>
  <si>
    <t>Oval 1283</t>
  </si>
  <si>
    <t>Oval 1284</t>
  </si>
  <si>
    <t>Oval 1285</t>
  </si>
  <si>
    <t>Oval 1286</t>
  </si>
  <si>
    <t>Oval 1287</t>
  </si>
  <si>
    <t>Oval 1288</t>
  </si>
  <si>
    <t>Oval 1289</t>
  </si>
  <si>
    <t>Oval 1290</t>
  </si>
  <si>
    <t>Assign To</t>
    <phoneticPr fontId="1"/>
  </si>
  <si>
    <t>Staff A</t>
    <phoneticPr fontId="1"/>
  </si>
  <si>
    <t>Staff B</t>
    <phoneticPr fontId="1"/>
  </si>
  <si>
    <t>Staff A</t>
    <phoneticPr fontId="1"/>
  </si>
  <si>
    <t>Staff A</t>
    <phoneticPr fontId="1"/>
  </si>
  <si>
    <t>Staff C</t>
    <phoneticPr fontId="1"/>
  </si>
  <si>
    <t>Staff B</t>
    <phoneticPr fontId="1"/>
  </si>
  <si>
    <t>Staff C</t>
    <phoneticPr fontId="1"/>
  </si>
  <si>
    <t>コーディング</t>
    <phoneticPr fontId="1"/>
  </si>
  <si>
    <t>Done</t>
    <phoneticPr fontId="1"/>
  </si>
  <si>
    <t>タスク開始日を前タスク終了直後に設定したい場合がある。</t>
    <rPh sb="3" eb="5">
      <t>カイシ</t>
    </rPh>
    <rPh sb="5" eb="6">
      <t>ビ</t>
    </rPh>
    <rPh sb="7" eb="8">
      <t>マエ</t>
    </rPh>
    <rPh sb="11" eb="13">
      <t>シュウリョウ</t>
    </rPh>
    <rPh sb="13" eb="15">
      <t>チョクゴ</t>
    </rPh>
    <rPh sb="16" eb="18">
      <t>セッテイ</t>
    </rPh>
    <rPh sb="21" eb="23">
      <t>バアイ</t>
    </rPh>
    <phoneticPr fontId="1"/>
  </si>
  <si>
    <t>スケジュールシートにStart Offset列を作って0か1を指定できるようにする。</t>
    <rPh sb="22" eb="23">
      <t>レツ</t>
    </rPh>
    <rPh sb="24" eb="25">
      <t>ツク</t>
    </rPh>
    <rPh sb="31" eb="33">
      <t>シテイ</t>
    </rPh>
    <phoneticPr fontId="1"/>
  </si>
  <si>
    <t>Dependencyが複数だと文字列扱いになって左寄せになる。</t>
    <rPh sb="11" eb="13">
      <t>フクスウ</t>
    </rPh>
    <rPh sb="15" eb="18">
      <t>モジレツ</t>
    </rPh>
    <rPh sb="18" eb="19">
      <t>アツカ</t>
    </rPh>
    <rPh sb="24" eb="26">
      <t>ヒダリヨ</t>
    </rPh>
    <phoneticPr fontId="1"/>
  </si>
  <si>
    <t>すべて右寄せに変更する。</t>
    <rPh sb="3" eb="4">
      <t>ミギ</t>
    </rPh>
    <rPh sb="7" eb="9">
      <t>ヘンコウ</t>
    </rPh>
    <phoneticPr fontId="1"/>
  </si>
  <si>
    <t>Done</t>
    <phoneticPr fontId="1"/>
  </si>
  <si>
    <t>Oval 1329</t>
  </si>
  <si>
    <t>風呂掃除</t>
    <phoneticPr fontId="1"/>
  </si>
  <si>
    <t>ScheduleシートにShapeObject Namesが入力されていないとPlot Scheduleでエラーになる。</t>
    <rPh sb="30" eb="32">
      <t>ニュウリョク</t>
    </rPh>
    <phoneticPr fontId="1"/>
  </si>
  <si>
    <t>エラーハンドリング</t>
    <phoneticPr fontId="1"/>
  </si>
  <si>
    <t>消耗品チェック</t>
    <phoneticPr fontId="1"/>
  </si>
  <si>
    <t>消耗品発注</t>
    <phoneticPr fontId="1"/>
  </si>
  <si>
    <t>机の掃除</t>
    <phoneticPr fontId="1"/>
  </si>
  <si>
    <t>ゴミ捨て</t>
    <phoneticPr fontId="1"/>
  </si>
  <si>
    <t>11,12</t>
    <phoneticPr fontId="1"/>
  </si>
  <si>
    <t>床のモノを片付ける_訂正</t>
    <phoneticPr fontId="1"/>
  </si>
  <si>
    <t>床掃除ロボット実行</t>
    <phoneticPr fontId="1"/>
  </si>
  <si>
    <t>END</t>
    <phoneticPr fontId="1"/>
  </si>
  <si>
    <t>トイレ掃除</t>
    <phoneticPr fontId="1"/>
  </si>
  <si>
    <t>5,7,8</t>
    <phoneticPr fontId="1"/>
  </si>
  <si>
    <t>6,7</t>
    <phoneticPr fontId="1"/>
  </si>
  <si>
    <t>TEST</t>
    <phoneticPr fontId="1"/>
  </si>
  <si>
    <t>1,2</t>
    <phoneticPr fontId="1"/>
  </si>
  <si>
    <t>換気</t>
    <phoneticPr fontId="1"/>
  </si>
  <si>
    <t>洗濯物B</t>
    <phoneticPr fontId="1"/>
  </si>
  <si>
    <t>洗濯物Aを干す</t>
    <phoneticPr fontId="1"/>
  </si>
  <si>
    <t>13,14</t>
    <phoneticPr fontId="1"/>
  </si>
  <si>
    <t>洗濯物A</t>
    <phoneticPr fontId="1"/>
  </si>
  <si>
    <t>衣類の在庫確認</t>
    <phoneticPr fontId="1"/>
  </si>
  <si>
    <t>START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</si>
</sst>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755650</xdr:colOff>
      <xdr:row>19</xdr:row>
      <xdr:rowOff>130175</xdr:rowOff>
    </xdr:from>
    <xdr:to>
      <xdr:col>0</xdr:col>
      <xdr:colOff>1517650</xdr:colOff>
      <xdr:row>24</xdr:row>
      <xdr:rowOff>34925</xdr:rowOff>
    </xdr:to>
    <xdr:sp macro="" textlink="">
      <xdr:nvSpPr>
        <xdr:cNvPr id="1276" name="円/楕円 1275"/>
        <xdr:cNvSpPr/>
      </xdr:nvSpPr>
      <xdr:spPr>
        <a:xfrm>
          <a:off x="755650" y="35306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15.ST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ART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1882775</xdr:colOff>
      <xdr:row>11</xdr:row>
      <xdr:rowOff>34925</xdr:rowOff>
    </xdr:from>
    <xdr:to>
      <xdr:col>1</xdr:col>
      <xdr:colOff>711200</xdr:colOff>
      <xdr:row>15</xdr:row>
      <xdr:rowOff>111125</xdr:rowOff>
    </xdr:to>
    <xdr:sp macro="" textlink="">
      <xdr:nvSpPr>
        <xdr:cNvPr id="1277" name="円/楕円 1276"/>
        <xdr:cNvSpPr/>
      </xdr:nvSpPr>
      <xdr:spPr>
        <a:xfrm>
          <a:off x="1882775" y="2063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en-US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1882775</xdr:colOff>
      <xdr:row>17</xdr:row>
      <xdr:rowOff>22225</xdr:rowOff>
    </xdr:from>
    <xdr:to>
      <xdr:col>1</xdr:col>
      <xdr:colOff>711200</xdr:colOff>
      <xdr:row>21</xdr:row>
      <xdr:rowOff>98425</xdr:rowOff>
    </xdr:to>
    <xdr:sp macro="" textlink="">
      <xdr:nvSpPr>
        <xdr:cNvPr id="1278" name="円/楕円 1277"/>
        <xdr:cNvSpPr/>
      </xdr:nvSpPr>
      <xdr:spPr>
        <a:xfrm>
          <a:off x="1882775" y="3079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衣類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の在庫確認</a:t>
          </a:r>
        </a:p>
      </xdr:txBody>
    </xdr:sp>
    <xdr:clientData/>
  </xdr:twoCellAnchor>
  <xdr:twoCellAnchor>
    <xdr:from>
      <xdr:col>0</xdr:col>
      <xdr:colOff>1882775</xdr:colOff>
      <xdr:row>23</xdr:row>
      <xdr:rowOff>9525</xdr:rowOff>
    </xdr:from>
    <xdr:to>
      <xdr:col>1</xdr:col>
      <xdr:colOff>711200</xdr:colOff>
      <xdr:row>27</xdr:row>
      <xdr:rowOff>85725</xdr:rowOff>
    </xdr:to>
    <xdr:sp macro="" textlink="">
      <xdr:nvSpPr>
        <xdr:cNvPr id="1279" name="円/楕円 1278"/>
        <xdr:cNvSpPr/>
      </xdr:nvSpPr>
      <xdr:spPr>
        <a:xfrm>
          <a:off x="1882775" y="4095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床の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モノを片付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ける</a:t>
          </a:r>
          <a:r>
            <a:rPr kumimoji="1" lang="en-US" altLang="ja-JP" sz="1100">
              <a:solidFill>
                <a:srgbClr val="000000"/>
              </a:solidFill>
            </a:rPr>
            <a:t>_</a:t>
          </a:r>
          <a:r>
            <a:rPr kumimoji="1" lang="ja-JP" altLang="en-US" sz="1100">
              <a:solidFill>
                <a:srgbClr val="000000"/>
              </a:solidFill>
            </a:rPr>
            <a:t>訂正</a:t>
          </a:r>
        </a:p>
      </xdr:txBody>
    </xdr:sp>
    <xdr:clientData/>
  </xdr:twoCellAnchor>
  <xdr:twoCellAnchor>
    <xdr:from>
      <xdr:col>0</xdr:col>
      <xdr:colOff>1882775</xdr:colOff>
      <xdr:row>28</xdr:row>
      <xdr:rowOff>168275</xdr:rowOff>
    </xdr:from>
    <xdr:to>
      <xdr:col>1</xdr:col>
      <xdr:colOff>711200</xdr:colOff>
      <xdr:row>33</xdr:row>
      <xdr:rowOff>73025</xdr:rowOff>
    </xdr:to>
    <xdr:sp macro="" textlink="">
      <xdr:nvSpPr>
        <xdr:cNvPr id="1280" name="円/楕円 1279"/>
        <xdr:cNvSpPr/>
      </xdr:nvSpPr>
      <xdr:spPr>
        <a:xfrm>
          <a:off x="1882775" y="5111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14.</a:t>
          </a:r>
          <a:r>
            <a:rPr kumimoji="1" lang="ja-JP" altLang="en-US" sz="1100">
              <a:solidFill>
                <a:srgbClr val="000000"/>
              </a:solidFill>
            </a:rPr>
            <a:t>床掃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除ロボット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実行</a:t>
          </a:r>
        </a:p>
      </xdr:txBody>
    </xdr:sp>
    <xdr:clientData/>
  </xdr:twoCellAnchor>
  <xdr:twoCellAnchor>
    <xdr:from>
      <xdr:col>1</xdr:col>
      <xdr:colOff>1165225</xdr:colOff>
      <xdr:row>23</xdr:row>
      <xdr:rowOff>34925</xdr:rowOff>
    </xdr:from>
    <xdr:to>
      <xdr:col>2</xdr:col>
      <xdr:colOff>107950</xdr:colOff>
      <xdr:row>27</xdr:row>
      <xdr:rowOff>111125</xdr:rowOff>
    </xdr:to>
    <xdr:sp macro="" textlink="">
      <xdr:nvSpPr>
        <xdr:cNvPr id="1282" name="円/楕円 1281"/>
        <xdr:cNvSpPr/>
      </xdr:nvSpPr>
      <xdr:spPr>
        <a:xfrm>
          <a:off x="3098800" y="41211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9.TES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787400</xdr:colOff>
      <xdr:row>11</xdr:row>
      <xdr:rowOff>120650</xdr:rowOff>
    </xdr:from>
    <xdr:to>
      <xdr:col>2</xdr:col>
      <xdr:colOff>1549400</xdr:colOff>
      <xdr:row>16</xdr:row>
      <xdr:rowOff>25400</xdr:rowOff>
    </xdr:to>
    <xdr:sp macro="" textlink="">
      <xdr:nvSpPr>
        <xdr:cNvPr id="1283" name="円/楕円 1282"/>
        <xdr:cNvSpPr/>
      </xdr:nvSpPr>
      <xdr:spPr>
        <a:xfrm>
          <a:off x="4540250" y="214947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2</xdr:col>
      <xdr:colOff>733425</xdr:colOff>
      <xdr:row>20</xdr:row>
      <xdr:rowOff>34925</xdr:rowOff>
    </xdr:from>
    <xdr:to>
      <xdr:col>2</xdr:col>
      <xdr:colOff>1495425</xdr:colOff>
      <xdr:row>24</xdr:row>
      <xdr:rowOff>111125</xdr:rowOff>
    </xdr:to>
    <xdr:sp macro="" textlink="">
      <xdr:nvSpPr>
        <xdr:cNvPr id="1284" name="円/楕円 1283"/>
        <xdr:cNvSpPr/>
      </xdr:nvSpPr>
      <xdr:spPr>
        <a:xfrm>
          <a:off x="4486275" y="36068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2</xdr:col>
      <xdr:colOff>727075</xdr:colOff>
      <xdr:row>29</xdr:row>
      <xdr:rowOff>44450</xdr:rowOff>
    </xdr:from>
    <xdr:to>
      <xdr:col>2</xdr:col>
      <xdr:colOff>1489075</xdr:colOff>
      <xdr:row>33</xdr:row>
      <xdr:rowOff>120650</xdr:rowOff>
    </xdr:to>
    <xdr:sp macro="" textlink="">
      <xdr:nvSpPr>
        <xdr:cNvPr id="1285" name="円/楕円 1284"/>
        <xdr:cNvSpPr/>
      </xdr:nvSpPr>
      <xdr:spPr>
        <a:xfrm>
          <a:off x="4479925" y="515937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2587625</xdr:colOff>
      <xdr:row>17</xdr:row>
      <xdr:rowOff>130175</xdr:rowOff>
    </xdr:from>
    <xdr:to>
      <xdr:col>2</xdr:col>
      <xdr:colOff>3349625</xdr:colOff>
      <xdr:row>22</xdr:row>
      <xdr:rowOff>34925</xdr:rowOff>
    </xdr:to>
    <xdr:sp macro="" textlink="">
      <xdr:nvSpPr>
        <xdr:cNvPr id="1286" name="円/楕円 1285"/>
        <xdr:cNvSpPr/>
      </xdr:nvSpPr>
      <xdr:spPr>
        <a:xfrm>
          <a:off x="6340475" y="31877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2</xdr:col>
      <xdr:colOff>1743075</xdr:colOff>
      <xdr:row>24</xdr:row>
      <xdr:rowOff>130175</xdr:rowOff>
    </xdr:from>
    <xdr:to>
      <xdr:col>2</xdr:col>
      <xdr:colOff>2505075</xdr:colOff>
      <xdr:row>29</xdr:row>
      <xdr:rowOff>34925</xdr:rowOff>
    </xdr:to>
    <xdr:sp macro="" textlink="">
      <xdr:nvSpPr>
        <xdr:cNvPr id="1287" name="円/楕円 1286"/>
        <xdr:cNvSpPr/>
      </xdr:nvSpPr>
      <xdr:spPr>
        <a:xfrm>
          <a:off x="5495925" y="43878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発注</a:t>
          </a:r>
        </a:p>
      </xdr:txBody>
    </xdr:sp>
    <xdr:clientData/>
  </xdr:twoCellAnchor>
  <xdr:twoCellAnchor>
    <xdr:from>
      <xdr:col>2</xdr:col>
      <xdr:colOff>3498850</xdr:colOff>
      <xdr:row>22</xdr:row>
      <xdr:rowOff>92075</xdr:rowOff>
    </xdr:from>
    <xdr:to>
      <xdr:col>3</xdr:col>
      <xdr:colOff>755650</xdr:colOff>
      <xdr:row>26</xdr:row>
      <xdr:rowOff>168275</xdr:rowOff>
    </xdr:to>
    <xdr:sp macro="" textlink="">
      <xdr:nvSpPr>
        <xdr:cNvPr id="1288" name="円/楕円 1287"/>
        <xdr:cNvSpPr/>
      </xdr:nvSpPr>
      <xdr:spPr>
        <a:xfrm>
          <a:off x="7251700" y="40068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トイレ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3</xdr:col>
      <xdr:colOff>292100</xdr:colOff>
      <xdr:row>15</xdr:row>
      <xdr:rowOff>149225</xdr:rowOff>
    </xdr:from>
    <xdr:to>
      <xdr:col>3</xdr:col>
      <xdr:colOff>1054100</xdr:colOff>
      <xdr:row>20</xdr:row>
      <xdr:rowOff>53975</xdr:rowOff>
    </xdr:to>
    <xdr:sp macro="" textlink="">
      <xdr:nvSpPr>
        <xdr:cNvPr id="1289" name="円/楕円 1288"/>
        <xdr:cNvSpPr/>
      </xdr:nvSpPr>
      <xdr:spPr>
        <a:xfrm>
          <a:off x="7550150" y="28638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3</xdr:col>
      <xdr:colOff>1333500</xdr:colOff>
      <xdr:row>24</xdr:row>
      <xdr:rowOff>15875</xdr:rowOff>
    </xdr:from>
    <xdr:to>
      <xdr:col>4</xdr:col>
      <xdr:colOff>323850</xdr:colOff>
      <xdr:row>28</xdr:row>
      <xdr:rowOff>92075</xdr:rowOff>
    </xdr:to>
    <xdr:sp macro="" textlink="">
      <xdr:nvSpPr>
        <xdr:cNvPr id="1290" name="円/楕円 1289"/>
        <xdr:cNvSpPr/>
      </xdr:nvSpPr>
      <xdr:spPr>
        <a:xfrm>
          <a:off x="8591550" y="42735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風呂掃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4</xdr:col>
      <xdr:colOff>520887</xdr:colOff>
      <xdr:row>18</xdr:row>
      <xdr:rowOff>168274</xdr:rowOff>
    </xdr:from>
    <xdr:to>
      <xdr:col>4</xdr:col>
      <xdr:colOff>1281767</xdr:colOff>
      <xdr:row>23</xdr:row>
      <xdr:rowOff>73024</xdr:rowOff>
    </xdr:to>
    <xdr:sp macro="" textlink="">
      <xdr:nvSpPr>
        <xdr:cNvPr id="1291" name="円/楕円 1290"/>
        <xdr:cNvSpPr/>
      </xdr:nvSpPr>
      <xdr:spPr>
        <a:xfrm>
          <a:off x="9550587" y="3397249"/>
          <a:ext cx="76088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1517650</xdr:colOff>
      <xdr:row>13</xdr:row>
      <xdr:rowOff>73025</xdr:rowOff>
    </xdr:from>
    <xdr:to>
      <xdr:col>0</xdr:col>
      <xdr:colOff>1882775</xdr:colOff>
      <xdr:row>21</xdr:row>
      <xdr:rowOff>168275</xdr:rowOff>
    </xdr:to>
    <xdr:cxnSp macro="">
      <xdr:nvCxnSpPr>
        <xdr:cNvPr id="1293" name="直線矢印コネクタ 1292"/>
        <xdr:cNvCxnSpPr>
          <a:stCxn id="1276" idx="6"/>
          <a:endCxn id="1277" idx="2"/>
        </xdr:cNvCxnSpPr>
      </xdr:nvCxnSpPr>
      <xdr:spPr>
        <a:xfrm flipV="1">
          <a:off x="1517650" y="2444750"/>
          <a:ext cx="365125" cy="14668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1517650</xdr:colOff>
      <xdr:row>19</xdr:row>
      <xdr:rowOff>60325</xdr:rowOff>
    </xdr:from>
    <xdr:to>
      <xdr:col>0</xdr:col>
      <xdr:colOff>1882775</xdr:colOff>
      <xdr:row>21</xdr:row>
      <xdr:rowOff>168275</xdr:rowOff>
    </xdr:to>
    <xdr:cxnSp macro="">
      <xdr:nvCxnSpPr>
        <xdr:cNvPr id="1294" name="直線矢印コネクタ 1293"/>
        <xdr:cNvCxnSpPr>
          <a:stCxn id="1276" idx="6"/>
          <a:endCxn id="1278" idx="2"/>
        </xdr:cNvCxnSpPr>
      </xdr:nvCxnSpPr>
      <xdr:spPr>
        <a:xfrm flipV="1">
          <a:off x="1517650" y="3460750"/>
          <a:ext cx="365125" cy="4508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1517650</xdr:colOff>
      <xdr:row>21</xdr:row>
      <xdr:rowOff>168275</xdr:rowOff>
    </xdr:from>
    <xdr:to>
      <xdr:col>0</xdr:col>
      <xdr:colOff>1882775</xdr:colOff>
      <xdr:row>25</xdr:row>
      <xdr:rowOff>47625</xdr:rowOff>
    </xdr:to>
    <xdr:cxnSp macro="">
      <xdr:nvCxnSpPr>
        <xdr:cNvPr id="1295" name="直線矢印コネクタ 1294"/>
        <xdr:cNvCxnSpPr>
          <a:stCxn id="1276" idx="6"/>
          <a:endCxn id="1279" idx="2"/>
        </xdr:cNvCxnSpPr>
      </xdr:nvCxnSpPr>
      <xdr:spPr>
        <a:xfrm>
          <a:off x="1517650" y="3911600"/>
          <a:ext cx="365125" cy="565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1517650</xdr:colOff>
      <xdr:row>21</xdr:row>
      <xdr:rowOff>168275</xdr:rowOff>
    </xdr:from>
    <xdr:to>
      <xdr:col>0</xdr:col>
      <xdr:colOff>1882775</xdr:colOff>
      <xdr:row>31</xdr:row>
      <xdr:rowOff>34925</xdr:rowOff>
    </xdr:to>
    <xdr:cxnSp macro="">
      <xdr:nvCxnSpPr>
        <xdr:cNvPr id="1296" name="直線矢印コネクタ 1295"/>
        <xdr:cNvCxnSpPr>
          <a:stCxn id="1276" idx="6"/>
          <a:endCxn id="1280" idx="2"/>
        </xdr:cNvCxnSpPr>
      </xdr:nvCxnSpPr>
      <xdr:spPr>
        <a:xfrm>
          <a:off x="1517650" y="3911600"/>
          <a:ext cx="365125" cy="1581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711200</xdr:colOff>
      <xdr:row>25</xdr:row>
      <xdr:rowOff>73025</xdr:rowOff>
    </xdr:from>
    <xdr:to>
      <xdr:col>1</xdr:col>
      <xdr:colOff>1165225</xdr:colOff>
      <xdr:row>31</xdr:row>
      <xdr:rowOff>34925</xdr:rowOff>
    </xdr:to>
    <xdr:cxnSp macro="">
      <xdr:nvCxnSpPr>
        <xdr:cNvPr id="1299" name="直線矢印コネクタ 1298"/>
        <xdr:cNvCxnSpPr>
          <a:stCxn id="1280" idx="6"/>
          <a:endCxn id="1282" idx="2"/>
        </xdr:cNvCxnSpPr>
      </xdr:nvCxnSpPr>
      <xdr:spPr>
        <a:xfrm flipV="1">
          <a:off x="2644775" y="4502150"/>
          <a:ext cx="454025" cy="9906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711200</xdr:colOff>
      <xdr:row>25</xdr:row>
      <xdr:rowOff>47625</xdr:rowOff>
    </xdr:from>
    <xdr:to>
      <xdr:col>1</xdr:col>
      <xdr:colOff>1165225</xdr:colOff>
      <xdr:row>25</xdr:row>
      <xdr:rowOff>73025</xdr:rowOff>
    </xdr:to>
    <xdr:cxnSp macro="">
      <xdr:nvCxnSpPr>
        <xdr:cNvPr id="1300" name="直線矢印コネクタ 1299"/>
        <xdr:cNvCxnSpPr>
          <a:stCxn id="1279" idx="6"/>
          <a:endCxn id="1282" idx="2"/>
        </xdr:cNvCxnSpPr>
      </xdr:nvCxnSpPr>
      <xdr:spPr>
        <a:xfrm>
          <a:off x="2644775" y="4476750"/>
          <a:ext cx="454025" cy="254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107950</xdr:colOff>
      <xdr:row>22</xdr:row>
      <xdr:rowOff>73025</xdr:rowOff>
    </xdr:from>
    <xdr:to>
      <xdr:col>2</xdr:col>
      <xdr:colOff>733425</xdr:colOff>
      <xdr:row>25</xdr:row>
      <xdr:rowOff>73025</xdr:rowOff>
    </xdr:to>
    <xdr:cxnSp macro="">
      <xdr:nvCxnSpPr>
        <xdr:cNvPr id="1303" name="直線矢印コネクタ 1302"/>
        <xdr:cNvCxnSpPr>
          <a:stCxn id="1282" idx="6"/>
          <a:endCxn id="1284" idx="2"/>
        </xdr:cNvCxnSpPr>
      </xdr:nvCxnSpPr>
      <xdr:spPr>
        <a:xfrm flipV="1">
          <a:off x="3860800" y="3987800"/>
          <a:ext cx="625475" cy="5143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107950</xdr:colOff>
      <xdr:row>25</xdr:row>
      <xdr:rowOff>73025</xdr:rowOff>
    </xdr:from>
    <xdr:to>
      <xdr:col>2</xdr:col>
      <xdr:colOff>727075</xdr:colOff>
      <xdr:row>31</xdr:row>
      <xdr:rowOff>82550</xdr:rowOff>
    </xdr:to>
    <xdr:cxnSp macro="">
      <xdr:nvCxnSpPr>
        <xdr:cNvPr id="1304" name="直線矢印コネクタ 1303"/>
        <xdr:cNvCxnSpPr>
          <a:stCxn id="1282" idx="6"/>
          <a:endCxn id="1285" idx="2"/>
        </xdr:cNvCxnSpPr>
      </xdr:nvCxnSpPr>
      <xdr:spPr>
        <a:xfrm>
          <a:off x="3860800" y="4502150"/>
          <a:ext cx="619125" cy="10382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1549400</xdr:colOff>
      <xdr:row>13</xdr:row>
      <xdr:rowOff>158750</xdr:rowOff>
    </xdr:from>
    <xdr:to>
      <xdr:col>2</xdr:col>
      <xdr:colOff>2587625</xdr:colOff>
      <xdr:row>19</xdr:row>
      <xdr:rowOff>168275</xdr:rowOff>
    </xdr:to>
    <xdr:cxnSp macro="">
      <xdr:nvCxnSpPr>
        <xdr:cNvPr id="1305" name="直線矢印コネクタ 1304"/>
        <xdr:cNvCxnSpPr>
          <a:stCxn id="1283" idx="6"/>
          <a:endCxn id="1286" idx="2"/>
        </xdr:cNvCxnSpPr>
      </xdr:nvCxnSpPr>
      <xdr:spPr>
        <a:xfrm>
          <a:off x="5302250" y="2530475"/>
          <a:ext cx="1038225" cy="10382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1495425</xdr:colOff>
      <xdr:row>19</xdr:row>
      <xdr:rowOff>168275</xdr:rowOff>
    </xdr:from>
    <xdr:to>
      <xdr:col>2</xdr:col>
      <xdr:colOff>2587625</xdr:colOff>
      <xdr:row>22</xdr:row>
      <xdr:rowOff>73025</xdr:rowOff>
    </xdr:to>
    <xdr:cxnSp macro="">
      <xdr:nvCxnSpPr>
        <xdr:cNvPr id="1306" name="直線矢印コネクタ 1305"/>
        <xdr:cNvCxnSpPr>
          <a:stCxn id="1284" idx="6"/>
          <a:endCxn id="1286" idx="2"/>
        </xdr:cNvCxnSpPr>
      </xdr:nvCxnSpPr>
      <xdr:spPr>
        <a:xfrm flipV="1">
          <a:off x="5248275" y="3568700"/>
          <a:ext cx="1092200" cy="4191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1495425</xdr:colOff>
      <xdr:row>22</xdr:row>
      <xdr:rowOff>73025</xdr:rowOff>
    </xdr:from>
    <xdr:to>
      <xdr:col>2</xdr:col>
      <xdr:colOff>1743075</xdr:colOff>
      <xdr:row>26</xdr:row>
      <xdr:rowOff>168275</xdr:rowOff>
    </xdr:to>
    <xdr:cxnSp macro="">
      <xdr:nvCxnSpPr>
        <xdr:cNvPr id="1307" name="直線矢印コネクタ 1306"/>
        <xdr:cNvCxnSpPr>
          <a:stCxn id="1284" idx="6"/>
          <a:endCxn id="1287" idx="2"/>
        </xdr:cNvCxnSpPr>
      </xdr:nvCxnSpPr>
      <xdr:spPr>
        <a:xfrm>
          <a:off x="5248275" y="3987800"/>
          <a:ext cx="247650" cy="7810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1489075</xdr:colOff>
      <xdr:row>26</xdr:row>
      <xdr:rowOff>168275</xdr:rowOff>
    </xdr:from>
    <xdr:to>
      <xdr:col>2</xdr:col>
      <xdr:colOff>1743075</xdr:colOff>
      <xdr:row>31</xdr:row>
      <xdr:rowOff>82550</xdr:rowOff>
    </xdr:to>
    <xdr:cxnSp macro="">
      <xdr:nvCxnSpPr>
        <xdr:cNvPr id="1308" name="直線矢印コネクタ 1307"/>
        <xdr:cNvCxnSpPr>
          <a:stCxn id="1285" idx="6"/>
          <a:endCxn id="1287" idx="2"/>
        </xdr:cNvCxnSpPr>
      </xdr:nvCxnSpPr>
      <xdr:spPr>
        <a:xfrm flipV="1">
          <a:off x="5241925" y="4768850"/>
          <a:ext cx="254000" cy="7715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3349625</xdr:colOff>
      <xdr:row>19</xdr:row>
      <xdr:rowOff>168275</xdr:rowOff>
    </xdr:from>
    <xdr:to>
      <xdr:col>2</xdr:col>
      <xdr:colOff>3498850</xdr:colOff>
      <xdr:row>24</xdr:row>
      <xdr:rowOff>130175</xdr:rowOff>
    </xdr:to>
    <xdr:cxnSp macro="">
      <xdr:nvCxnSpPr>
        <xdr:cNvPr id="1310" name="直線矢印コネクタ 1309"/>
        <xdr:cNvCxnSpPr>
          <a:stCxn id="1286" idx="6"/>
          <a:endCxn id="1288" idx="2"/>
        </xdr:cNvCxnSpPr>
      </xdr:nvCxnSpPr>
      <xdr:spPr>
        <a:xfrm>
          <a:off x="7102475" y="3568700"/>
          <a:ext cx="149225" cy="819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2505075</xdr:colOff>
      <xdr:row>19</xdr:row>
      <xdr:rowOff>168275</xdr:rowOff>
    </xdr:from>
    <xdr:to>
      <xdr:col>2</xdr:col>
      <xdr:colOff>2587625</xdr:colOff>
      <xdr:row>26</xdr:row>
      <xdr:rowOff>168275</xdr:rowOff>
    </xdr:to>
    <xdr:cxnSp macro="">
      <xdr:nvCxnSpPr>
        <xdr:cNvPr id="1311" name="直線矢印コネクタ 1310"/>
        <xdr:cNvCxnSpPr>
          <a:stCxn id="1287" idx="6"/>
          <a:endCxn id="1286" idx="2"/>
        </xdr:cNvCxnSpPr>
      </xdr:nvCxnSpPr>
      <xdr:spPr>
        <a:xfrm flipV="1">
          <a:off x="6257925" y="3568700"/>
          <a:ext cx="82550" cy="1200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3349625</xdr:colOff>
      <xdr:row>18</xdr:row>
      <xdr:rowOff>15875</xdr:rowOff>
    </xdr:from>
    <xdr:to>
      <xdr:col>3</xdr:col>
      <xdr:colOff>292100</xdr:colOff>
      <xdr:row>19</xdr:row>
      <xdr:rowOff>168275</xdr:rowOff>
    </xdr:to>
    <xdr:cxnSp macro="">
      <xdr:nvCxnSpPr>
        <xdr:cNvPr id="1320" name="直線矢印コネクタ 1319"/>
        <xdr:cNvCxnSpPr>
          <a:stCxn id="1286" idx="6"/>
          <a:endCxn id="1289" idx="2"/>
        </xdr:cNvCxnSpPr>
      </xdr:nvCxnSpPr>
      <xdr:spPr>
        <a:xfrm flipV="1">
          <a:off x="7102475" y="3244850"/>
          <a:ext cx="447675" cy="3238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1054100</xdr:colOff>
      <xdr:row>18</xdr:row>
      <xdr:rowOff>15875</xdr:rowOff>
    </xdr:from>
    <xdr:to>
      <xdr:col>4</xdr:col>
      <xdr:colOff>520887</xdr:colOff>
      <xdr:row>21</xdr:row>
      <xdr:rowOff>34924</xdr:rowOff>
    </xdr:to>
    <xdr:cxnSp macro="">
      <xdr:nvCxnSpPr>
        <xdr:cNvPr id="1321" name="直線矢印コネクタ 1320"/>
        <xdr:cNvCxnSpPr>
          <a:stCxn id="1289" idx="6"/>
          <a:endCxn id="1291" idx="2"/>
        </xdr:cNvCxnSpPr>
      </xdr:nvCxnSpPr>
      <xdr:spPr>
        <a:xfrm>
          <a:off x="8312150" y="3244850"/>
          <a:ext cx="1238437" cy="53339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24</xdr:row>
      <xdr:rowOff>130175</xdr:rowOff>
    </xdr:from>
    <xdr:to>
      <xdr:col>3</xdr:col>
      <xdr:colOff>1333500</xdr:colOff>
      <xdr:row>26</xdr:row>
      <xdr:rowOff>53975</xdr:rowOff>
    </xdr:to>
    <xdr:cxnSp macro="">
      <xdr:nvCxnSpPr>
        <xdr:cNvPr id="1322" name="直線矢印コネクタ 1321"/>
        <xdr:cNvCxnSpPr>
          <a:stCxn id="1288" idx="6"/>
          <a:endCxn id="1290" idx="2"/>
        </xdr:cNvCxnSpPr>
      </xdr:nvCxnSpPr>
      <xdr:spPr>
        <a:xfrm>
          <a:off x="8013700" y="4387850"/>
          <a:ext cx="577850" cy="2667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323850</xdr:colOff>
      <xdr:row>21</xdr:row>
      <xdr:rowOff>34924</xdr:rowOff>
    </xdr:from>
    <xdr:to>
      <xdr:col>4</xdr:col>
      <xdr:colOff>520887</xdr:colOff>
      <xdr:row>26</xdr:row>
      <xdr:rowOff>53975</xdr:rowOff>
    </xdr:to>
    <xdr:cxnSp macro="">
      <xdr:nvCxnSpPr>
        <xdr:cNvPr id="1323" name="直線矢印コネクタ 1322"/>
        <xdr:cNvCxnSpPr>
          <a:stCxn id="1290" idx="6"/>
          <a:endCxn id="1291" idx="2"/>
        </xdr:cNvCxnSpPr>
      </xdr:nvCxnSpPr>
      <xdr:spPr>
        <a:xfrm flipV="1">
          <a:off x="9353550" y="3778249"/>
          <a:ext cx="197037" cy="87630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1155700</xdr:colOff>
      <xdr:row>11</xdr:row>
      <xdr:rowOff>130175</xdr:rowOff>
    </xdr:from>
    <xdr:to>
      <xdr:col>2</xdr:col>
      <xdr:colOff>98425</xdr:colOff>
      <xdr:row>16</xdr:row>
      <xdr:rowOff>34925</xdr:rowOff>
    </xdr:to>
    <xdr:sp macro="" textlink="">
      <xdr:nvSpPr>
        <xdr:cNvPr id="1330" name="円/楕円 1329"/>
        <xdr:cNvSpPr/>
      </xdr:nvSpPr>
      <xdr:spPr>
        <a:xfrm>
          <a:off x="3089275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ゴミ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捨て</a:t>
          </a:r>
        </a:p>
      </xdr:txBody>
    </xdr:sp>
    <xdr:clientData/>
  </xdr:twoCellAnchor>
  <xdr:twoCellAnchor>
    <xdr:from>
      <xdr:col>1</xdr:col>
      <xdr:colOff>711200</xdr:colOff>
      <xdr:row>13</xdr:row>
      <xdr:rowOff>73025</xdr:rowOff>
    </xdr:from>
    <xdr:to>
      <xdr:col>1</xdr:col>
      <xdr:colOff>1155700</xdr:colOff>
      <xdr:row>13</xdr:row>
      <xdr:rowOff>168275</xdr:rowOff>
    </xdr:to>
    <xdr:cxnSp macro="">
      <xdr:nvCxnSpPr>
        <xdr:cNvPr id="1331" name="直線矢印コネクタ 1330"/>
        <xdr:cNvCxnSpPr>
          <a:stCxn id="1277" idx="6"/>
          <a:endCxn id="1330" idx="2"/>
        </xdr:cNvCxnSpPr>
      </xdr:nvCxnSpPr>
      <xdr:spPr>
        <a:xfrm>
          <a:off x="2644775" y="2444750"/>
          <a:ext cx="444500" cy="952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711200</xdr:colOff>
      <xdr:row>13</xdr:row>
      <xdr:rowOff>168275</xdr:rowOff>
    </xdr:from>
    <xdr:to>
      <xdr:col>1</xdr:col>
      <xdr:colOff>1155700</xdr:colOff>
      <xdr:row>19</xdr:row>
      <xdr:rowOff>60325</xdr:rowOff>
    </xdr:to>
    <xdr:cxnSp macro="">
      <xdr:nvCxnSpPr>
        <xdr:cNvPr id="1332" name="直線矢印コネクタ 1331"/>
        <xdr:cNvCxnSpPr>
          <a:stCxn id="1278" idx="6"/>
          <a:endCxn id="1330" idx="2"/>
        </xdr:cNvCxnSpPr>
      </xdr:nvCxnSpPr>
      <xdr:spPr>
        <a:xfrm flipV="1">
          <a:off x="2644775" y="2540000"/>
          <a:ext cx="444500" cy="920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98425</xdr:colOff>
      <xdr:row>13</xdr:row>
      <xdr:rowOff>158750</xdr:rowOff>
    </xdr:from>
    <xdr:to>
      <xdr:col>2</xdr:col>
      <xdr:colOff>787400</xdr:colOff>
      <xdr:row>13</xdr:row>
      <xdr:rowOff>168275</xdr:rowOff>
    </xdr:to>
    <xdr:cxnSp macro="">
      <xdr:nvCxnSpPr>
        <xdr:cNvPr id="1333" name="直線矢印コネクタ 1332"/>
        <xdr:cNvCxnSpPr>
          <a:stCxn id="1330" idx="6"/>
          <a:endCxn id="1283" idx="2"/>
        </xdr:cNvCxnSpPr>
      </xdr:nvCxnSpPr>
      <xdr:spPr>
        <a:xfrm flipV="1">
          <a:off x="3851275" y="2530475"/>
          <a:ext cx="688975" cy="95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H20"/>
  <sheetViews>
    <sheetView tabSelected="1" workbookViewId="0"/>
  </sheetViews>
  <sheetFormatPr defaultRowHeight="13.5" x14ac:dyDescent="0.15"/>
  <cols>
    <col min="1" max="1" width="3.75" bestFit="1" customWidth="1"/>
    <col min="2" max="2" width="22.5" bestFit="1" customWidth="1"/>
    <col min="3" max="3" width="13.125" style="12" bestFit="1" customWidth="1"/>
    <col min="4" max="4" width="9.5" bestFit="1" customWidth="1"/>
    <col min="5" max="5" width="14.5" bestFit="1" customWidth="1"/>
    <col min="6" max="6" width="13.125" bestFit="1" customWidth="1"/>
    <col min="7" max="7" width="29.375" bestFit="1" customWidth="1"/>
    <col min="8" max="8" width="10.75" bestFit="1" customWidth="1"/>
  </cols>
  <sheetData>
    <row r="1" spans="1:8" s="8" customFormat="1" ht="42" x14ac:dyDescent="0.15">
      <c r="A1" s="7" t="s">
        <v>9</v>
      </c>
    </row>
    <row r="2" spans="1:8" x14ac:dyDescent="0.15">
      <c r="C2"/>
    </row>
    <row r="3" spans="1:8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12</v>
      </c>
      <c r="H3" s="1" t="s">
        <v>39</v>
      </c>
    </row>
    <row r="4" spans="1:8" x14ac:dyDescent="0.15">
      <c r="A4">
        <v>0</v>
      </c>
      <c r="B4" t="s">
        <v>65</v>
      </c>
      <c r="C4" s="12" t="s">
        <v>70</v>
      </c>
      <c r="D4">
        <v>0</v>
      </c>
      <c r="E4" s="6">
        <f>WORKDAY(MAX(F5,F6),1,Holidays!A:A)</f>
        <v>44356</v>
      </c>
      <c r="F4" s="6">
        <f>WORKDAY(E4,D4,Holidays!A:A)</f>
        <v>44356</v>
      </c>
      <c r="G4" t="s">
        <v>38</v>
      </c>
      <c r="H4" t="s">
        <v>41</v>
      </c>
    </row>
    <row r="5" spans="1:8" x14ac:dyDescent="0.15">
      <c r="A5">
        <v>1</v>
      </c>
      <c r="B5" t="s">
        <v>55</v>
      </c>
      <c r="C5" s="12">
        <v>3</v>
      </c>
      <c r="D5">
        <v>0</v>
      </c>
      <c r="E5" s="6">
        <f>WORKDAY(MAX(F7),1,Holidays!A:A)</f>
        <v>44355</v>
      </c>
      <c r="F5" s="6">
        <f>WORKDAY(E5,D5,Holidays!A:A)</f>
        <v>44355</v>
      </c>
      <c r="G5" t="s">
        <v>37</v>
      </c>
      <c r="H5" t="s">
        <v>46</v>
      </c>
    </row>
    <row r="6" spans="1:8" x14ac:dyDescent="0.15">
      <c r="A6">
        <v>2</v>
      </c>
      <c r="B6" t="s">
        <v>71</v>
      </c>
      <c r="C6" s="12">
        <v>4</v>
      </c>
      <c r="D6">
        <v>0</v>
      </c>
      <c r="E6" s="6">
        <f>WORKDAY(MAX(F8),1,Holidays!A:A)</f>
        <v>44354</v>
      </c>
      <c r="F6" s="6">
        <f>WORKDAY(E6,D6,Holidays!A:A)</f>
        <v>44354</v>
      </c>
      <c r="G6" t="s">
        <v>36</v>
      </c>
      <c r="H6" t="s">
        <v>44</v>
      </c>
    </row>
    <row r="7" spans="1:8" x14ac:dyDescent="0.15">
      <c r="A7">
        <v>3</v>
      </c>
      <c r="B7" t="s">
        <v>66</v>
      </c>
      <c r="C7" s="12">
        <v>4</v>
      </c>
      <c r="D7">
        <v>0</v>
      </c>
      <c r="E7" s="6">
        <f>WORKDAY(MAX(F8),1,Holidays!A:A)</f>
        <v>44354</v>
      </c>
      <c r="F7" s="6">
        <f>WORKDAY(E7,D7,Holidays!A:A)</f>
        <v>44354</v>
      </c>
      <c r="G7" t="s">
        <v>35</v>
      </c>
      <c r="H7" t="s">
        <v>46</v>
      </c>
    </row>
    <row r="8" spans="1:8" x14ac:dyDescent="0.15">
      <c r="A8">
        <v>4</v>
      </c>
      <c r="B8" t="s">
        <v>58</v>
      </c>
      <c r="C8" s="12" t="s">
        <v>67</v>
      </c>
      <c r="D8">
        <v>0</v>
      </c>
      <c r="E8" s="6">
        <f>WORKDAY(MAX(F9,F11,F12),1,Holidays!A:A)</f>
        <v>44351</v>
      </c>
      <c r="F8" s="6">
        <f>WORKDAY(E8,D8,Holidays!A:A)</f>
        <v>44351</v>
      </c>
      <c r="G8" t="s">
        <v>33</v>
      </c>
      <c r="H8" t="s">
        <v>42</v>
      </c>
    </row>
    <row r="9" spans="1:8" x14ac:dyDescent="0.15">
      <c r="A9">
        <v>5</v>
      </c>
      <c r="B9" t="s">
        <v>59</v>
      </c>
      <c r="C9" s="12" t="s">
        <v>68</v>
      </c>
      <c r="D9">
        <v>0</v>
      </c>
      <c r="E9" s="6">
        <f>WORKDAY(MAX(F10,F11),1,Holidays!A:A)</f>
        <v>44350</v>
      </c>
      <c r="F9" s="6">
        <f>WORKDAY(E9,D9,Holidays!A:A)</f>
        <v>44350</v>
      </c>
      <c r="G9" t="s">
        <v>34</v>
      </c>
      <c r="H9" t="s">
        <v>41</v>
      </c>
    </row>
    <row r="10" spans="1:8" x14ac:dyDescent="0.15">
      <c r="A10">
        <v>6</v>
      </c>
      <c r="B10" t="s">
        <v>72</v>
      </c>
      <c r="C10" s="12">
        <v>9</v>
      </c>
      <c r="D10">
        <v>0</v>
      </c>
      <c r="E10" s="6">
        <f>WORKDAY(MAX(F13),1,Holidays!A:A)</f>
        <v>44349</v>
      </c>
      <c r="F10" s="6">
        <f>WORKDAY(E10,D10,Holidays!A:A)</f>
        <v>44349</v>
      </c>
      <c r="G10" t="s">
        <v>32</v>
      </c>
      <c r="H10" t="s">
        <v>44</v>
      </c>
    </row>
    <row r="11" spans="1:8" x14ac:dyDescent="0.15">
      <c r="A11">
        <v>7</v>
      </c>
      <c r="B11" t="s">
        <v>73</v>
      </c>
      <c r="C11" s="12">
        <v>9</v>
      </c>
      <c r="D11">
        <v>0</v>
      </c>
      <c r="E11" s="6">
        <f>WORKDAY(MAX(F13),1,Holidays!A:A)</f>
        <v>44349</v>
      </c>
      <c r="F11" s="6">
        <f>WORKDAY(E11,D11,Holidays!A:A)</f>
        <v>44349</v>
      </c>
      <c r="G11" t="s">
        <v>31</v>
      </c>
      <c r="H11" t="s">
        <v>43</v>
      </c>
    </row>
    <row r="12" spans="1:8" x14ac:dyDescent="0.15">
      <c r="A12">
        <v>8</v>
      </c>
      <c r="B12" t="s">
        <v>60</v>
      </c>
      <c r="C12" s="12">
        <v>10</v>
      </c>
      <c r="D12">
        <v>0</v>
      </c>
      <c r="E12" s="6">
        <f>WORKDAY(MAX(F14),1,Holidays!A:A)</f>
        <v>44349</v>
      </c>
      <c r="F12" s="6">
        <f>WORKDAY(E12,D12,Holidays!A:A)</f>
        <v>44349</v>
      </c>
      <c r="G12" t="s">
        <v>30</v>
      </c>
      <c r="H12" t="s">
        <v>42</v>
      </c>
    </row>
    <row r="13" spans="1:8" x14ac:dyDescent="0.15">
      <c r="A13">
        <v>9</v>
      </c>
      <c r="B13" t="s">
        <v>69</v>
      </c>
      <c r="C13" s="12" t="s">
        <v>74</v>
      </c>
      <c r="D13">
        <v>0</v>
      </c>
      <c r="E13" s="6">
        <f>WORKDAY(MAX(F17,F18),1,Holidays!A:A)</f>
        <v>44348</v>
      </c>
      <c r="F13" s="6">
        <f>WORKDAY(E13,D13,Holidays!A:A)</f>
        <v>44348</v>
      </c>
      <c r="G13" t="s">
        <v>29</v>
      </c>
      <c r="H13" t="s">
        <v>42</v>
      </c>
    </row>
    <row r="14" spans="1:8" x14ac:dyDescent="0.15">
      <c r="A14">
        <v>10</v>
      </c>
      <c r="B14" t="s">
        <v>61</v>
      </c>
      <c r="C14" s="12" t="s">
        <v>62</v>
      </c>
      <c r="D14">
        <v>0</v>
      </c>
      <c r="E14" s="6">
        <f>WORKDAY(MAX(F15,F16),1,Holidays!A:A)</f>
        <v>44348</v>
      </c>
      <c r="F14" s="6">
        <f>WORKDAY(E14,D14,Holidays!A:A)</f>
        <v>44348</v>
      </c>
      <c r="G14" t="s">
        <v>54</v>
      </c>
      <c r="H14" t="s">
        <v>44</v>
      </c>
    </row>
    <row r="15" spans="1:8" x14ac:dyDescent="0.15">
      <c r="A15">
        <v>11</v>
      </c>
      <c r="B15" t="s">
        <v>75</v>
      </c>
      <c r="C15" s="12">
        <v>15</v>
      </c>
      <c r="D15">
        <v>0</v>
      </c>
      <c r="E15" s="6">
        <f>WORKDAY(MAX(F19),1,Holidays!A:A)</f>
        <v>44347</v>
      </c>
      <c r="F15" s="6">
        <f>WORKDAY(E15,D15,Holidays!A:A)</f>
        <v>44347</v>
      </c>
      <c r="G15" t="s">
        <v>25</v>
      </c>
      <c r="H15" t="s">
        <v>41</v>
      </c>
    </row>
    <row r="16" spans="1:8" x14ac:dyDescent="0.15">
      <c r="A16">
        <v>12</v>
      </c>
      <c r="B16" t="s">
        <v>76</v>
      </c>
      <c r="C16" s="12">
        <v>15</v>
      </c>
      <c r="D16">
        <v>0</v>
      </c>
      <c r="E16" s="6">
        <f>WORKDAY(MAX(F19),1,Holidays!A:A)</f>
        <v>44347</v>
      </c>
      <c r="F16" s="6">
        <f>WORKDAY(E16,D16,Holidays!A:A)</f>
        <v>44347</v>
      </c>
      <c r="G16" t="s">
        <v>26</v>
      </c>
      <c r="H16" t="s">
        <v>40</v>
      </c>
    </row>
    <row r="17" spans="1:8" x14ac:dyDescent="0.15">
      <c r="A17">
        <v>13</v>
      </c>
      <c r="B17" t="s">
        <v>63</v>
      </c>
      <c r="C17" s="12">
        <v>15</v>
      </c>
      <c r="D17">
        <v>0</v>
      </c>
      <c r="E17" s="6">
        <f>WORKDAY(MAX(F19),1,Holidays!A:A)</f>
        <v>44347</v>
      </c>
      <c r="F17" s="6">
        <f>WORKDAY(E17,D17,Holidays!A:A)</f>
        <v>44347</v>
      </c>
      <c r="G17" t="s">
        <v>27</v>
      </c>
      <c r="H17" t="s">
        <v>41</v>
      </c>
    </row>
    <row r="18" spans="1:8" x14ac:dyDescent="0.15">
      <c r="A18">
        <v>14</v>
      </c>
      <c r="B18" t="s">
        <v>64</v>
      </c>
      <c r="C18" s="12">
        <v>15</v>
      </c>
      <c r="D18">
        <v>0</v>
      </c>
      <c r="E18" s="6">
        <f>WORKDAY(MAX(F19),1,Holidays!A:A)</f>
        <v>44347</v>
      </c>
      <c r="F18" s="6">
        <f>WORKDAY(E18,D18,Holidays!A:A)</f>
        <v>44347</v>
      </c>
      <c r="G18" t="s">
        <v>28</v>
      </c>
      <c r="H18" t="s">
        <v>42</v>
      </c>
    </row>
    <row r="19" spans="1:8" x14ac:dyDescent="0.15">
      <c r="A19">
        <v>15</v>
      </c>
      <c r="B19" t="s">
        <v>77</v>
      </c>
      <c r="D19">
        <v>0</v>
      </c>
      <c r="E19" s="6">
        <v>44346</v>
      </c>
      <c r="F19" s="6">
        <f>WORKDAY(E19,D19,Holidays!A:A)</f>
        <v>44346</v>
      </c>
      <c r="G19" t="s">
        <v>24</v>
      </c>
      <c r="H19" t="s">
        <v>45</v>
      </c>
    </row>
    <row r="20" spans="1:8" x14ac:dyDescent="0.15">
      <c r="E20" s="6"/>
      <c r="F20" s="6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Normal="100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workbookViewId="0"/>
  </sheetViews>
  <sheetFormatPr defaultRowHeight="13.5" x14ac:dyDescent="0.15"/>
  <cols>
    <col min="2" max="2" width="54.75" bestFit="1" customWidth="1"/>
    <col min="3" max="3" width="49.25" customWidth="1"/>
  </cols>
  <sheetData>
    <row r="1" spans="1:4" x14ac:dyDescent="0.15">
      <c r="A1" s="1" t="s">
        <v>13</v>
      </c>
      <c r="B1" s="1" t="s">
        <v>14</v>
      </c>
      <c r="C1" s="1" t="s">
        <v>16</v>
      </c>
      <c r="D1" s="1" t="s">
        <v>19</v>
      </c>
    </row>
    <row r="2" spans="1:4" s="9" customFormat="1" ht="67.5" x14ac:dyDescent="0.15">
      <c r="A2" s="9">
        <v>1</v>
      </c>
      <c r="B2" s="9" t="s">
        <v>15</v>
      </c>
      <c r="C2" s="10" t="s">
        <v>17</v>
      </c>
      <c r="D2" s="9" t="s">
        <v>22</v>
      </c>
    </row>
    <row r="3" spans="1:4" s="9" customFormat="1" x14ac:dyDescent="0.15">
      <c r="A3" s="9">
        <v>2</v>
      </c>
      <c r="B3" s="9" t="s">
        <v>18</v>
      </c>
      <c r="C3" s="9" t="s">
        <v>20</v>
      </c>
      <c r="D3" s="9" t="s">
        <v>21</v>
      </c>
    </row>
    <row r="4" spans="1:4" s="9" customFormat="1" x14ac:dyDescent="0.15">
      <c r="A4" s="9">
        <v>3</v>
      </c>
      <c r="B4" s="9" t="s">
        <v>23</v>
      </c>
      <c r="C4" s="9" t="s">
        <v>47</v>
      </c>
      <c r="D4" s="9" t="s">
        <v>48</v>
      </c>
    </row>
    <row r="5" spans="1:4" s="11" customFormat="1" x14ac:dyDescent="0.15">
      <c r="A5" s="11">
        <v>4</v>
      </c>
      <c r="B5" s="11" t="s">
        <v>49</v>
      </c>
      <c r="C5" s="11" t="s">
        <v>50</v>
      </c>
    </row>
    <row r="6" spans="1:4" s="9" customFormat="1" x14ac:dyDescent="0.15">
      <c r="A6" s="9">
        <v>5</v>
      </c>
      <c r="B6" s="9" t="s">
        <v>51</v>
      </c>
      <c r="C6" s="9" t="s">
        <v>52</v>
      </c>
      <c r="D6" s="9" t="s">
        <v>53</v>
      </c>
    </row>
    <row r="7" spans="1:4" x14ac:dyDescent="0.15">
      <c r="A7" s="11">
        <v>6</v>
      </c>
      <c r="B7" s="11" t="s">
        <v>56</v>
      </c>
      <c r="C7" s="11" t="s">
        <v>57</v>
      </c>
      <c r="D7" s="1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Schedule</vt:lpstr>
      <vt:lpstr>Draw</vt:lpstr>
      <vt:lpstr>Holidays</vt:lpstr>
      <vt:lpstr>Issue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2021-05-29T19:53:06Z</dcterms:modified>
</cp:coreProperties>
</file>