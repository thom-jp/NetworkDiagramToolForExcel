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  <sheet name="Issue" sheetId="5" r:id="rId5"/>
  </sheets>
  <functionGroups builtInGroupCount="18"/>
  <definedNames>
    <definedName name="_xlnm._FilterDatabase" localSheetId="0" hidden="1">TaskList!$A$3:$C$18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7" i="3" s="1"/>
  <c r="F7" i="3" s="1"/>
  <c r="E8" i="3" s="1"/>
  <c r="F8" i="3" s="1"/>
  <c r="E5" i="3" l="1"/>
  <c r="F5" i="3" s="1"/>
  <c r="E6" i="3" l="1"/>
  <c r="F6" i="3" s="1"/>
  <c r="E9" i="3" s="1"/>
  <c r="F9" i="3" s="1"/>
  <c r="E10" i="3" s="1"/>
  <c r="F10" i="3" s="1"/>
  <c r="E11" i="3" s="1"/>
  <c r="F11" i="3" s="1"/>
  <c r="E12" i="3" s="1"/>
  <c r="F12" i="3" s="1"/>
  <c r="E13" i="3" s="1"/>
  <c r="F13" i="3" s="1"/>
  <c r="E14" i="3" s="1"/>
  <c r="F14" i="3" s="1"/>
  <c r="E15" i="3" s="1"/>
  <c r="F15" i="3" s="1"/>
  <c r="E16" i="3" s="1"/>
  <c r="F16" i="3" s="1"/>
  <c r="E18" i="3" l="1"/>
  <c r="F18" i="3" s="1"/>
  <c r="E17" i="3"/>
  <c r="F17" i="3" s="1"/>
  <c r="E19" i="3" s="1"/>
  <c r="F19" i="3" s="1"/>
</calcChain>
</file>

<file path=xl/sharedStrings.xml><?xml version="1.0" encoding="utf-8"?>
<sst xmlns="http://schemas.openxmlformats.org/spreadsheetml/2006/main" count="76" uniqueCount="76">
  <si>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</si>
  <si>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</si>
  <si>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</si>
  <si>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</si>
  <si>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</si>
  <si>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</si>
  <si>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</si>
  <si>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</si>
  <si>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</si>
  <si>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</si>
  <si>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</si>
  <si>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</si>
  <si>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</si>
  <si>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</si>
  <si>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</si>
  <si>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</si>
  <si>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</si>
  <si>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</si>
  <si>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</si>
  <si>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</si>
  <si>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</si>
  <si>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</si>
  <si>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</si>
  <si>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</si>
  <si>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</si>
  <si>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</si>
  <si>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</si>
  <si>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</si>
  <si>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</si>
  <si>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</si>
  <si>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</si>
  <si>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</si>
  <si>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</si>
  <si>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</si>
  <si>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</si>
  <si>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Number</t>
    <phoneticPr fontId="1"/>
  </si>
  <si>
    <t>Shape Names in Draw sheet</t>
    <phoneticPr fontId="1"/>
  </si>
  <si>
    <t>START</t>
    <phoneticPr fontId="1"/>
  </si>
  <si>
    <t>END</t>
    <phoneticPr fontId="1"/>
  </si>
  <si>
    <t>Oval 1208</t>
  </si>
  <si>
    <t>Oval 1210</t>
    <phoneticPr fontId="1"/>
  </si>
  <si>
    <t>Oval 1211</t>
    <phoneticPr fontId="1"/>
  </si>
  <si>
    <t>Oval 1213</t>
    <phoneticPr fontId="1"/>
  </si>
  <si>
    <t>Oval 1214</t>
    <phoneticPr fontId="1"/>
  </si>
  <si>
    <t>Oval 1215</t>
    <phoneticPr fontId="1"/>
  </si>
  <si>
    <t>Oval 1217</t>
    <phoneticPr fontId="1"/>
  </si>
  <si>
    <t>Oval 1218</t>
    <phoneticPr fontId="1"/>
  </si>
  <si>
    <t>Oval 1219</t>
    <phoneticPr fontId="1"/>
  </si>
  <si>
    <t>床のモノを片付ける_訂正</t>
  </si>
  <si>
    <t>床のモノを片付ける_訂正</t>
    <rPh sb="0" eb="1">
      <t>ユカ</t>
    </rPh>
    <rPh sb="5" eb="7">
      <t>カタヅ</t>
    </rPh>
    <rPh sb="10" eb="12">
      <t>テイセイ</t>
    </rPh>
    <phoneticPr fontId="1"/>
  </si>
  <si>
    <t>Oval 1255</t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</si>
  <si>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</si>
  <si>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</si>
  <si>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</si>
  <si>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</si>
  <si>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</si>
  <si>
    <t>PlotTaskをしたときに、タスクリスト管理外のOvalを削除しない問題</t>
    <rPh sb="21" eb="24">
      <t>カンリガイ</t>
    </rPh>
    <rPh sb="30" eb="32">
      <t>サクジョ</t>
    </rPh>
    <rPh sb="35" eb="37">
      <t>モンダイ</t>
    </rPh>
    <phoneticPr fontId="1"/>
  </si>
  <si>
    <t>ステータス</t>
    <phoneticPr fontId="1"/>
  </si>
  <si>
    <t>タスクリストから検索させてRemoveする</t>
    <rPh sb="8" eb="10">
      <t>ケンサク</t>
    </rPh>
    <phoneticPr fontId="1"/>
  </si>
  <si>
    <t>Oval 10</t>
  </si>
  <si>
    <t>Oval 11</t>
  </si>
  <si>
    <t>Done</t>
    <phoneticPr fontId="1"/>
  </si>
  <si>
    <t>No</t>
    <phoneticPr fontId="1"/>
  </si>
  <si>
    <t>1,2,4</t>
  </si>
  <si>
    <t>洗濯物A</t>
  </si>
  <si>
    <t>洗濯物A</t>
    <rPh sb="0" eb="2">
      <t>センタク</t>
    </rPh>
    <rPh sb="2" eb="3">
      <t>モノ</t>
    </rPh>
    <phoneticPr fontId="1"/>
  </si>
  <si>
    <t>トイレ掃除</t>
    <rPh sb="3" eb="5">
      <t>ソウジ</t>
    </rPh>
    <phoneticPr fontId="1"/>
  </si>
  <si>
    <t>Oval 3</t>
    <phoneticPr fontId="1"/>
  </si>
  <si>
    <t>Oval 4</t>
    <phoneticPr fontId="1"/>
  </si>
  <si>
    <t>Oval 5</t>
    <phoneticPr fontId="1"/>
  </si>
  <si>
    <t>机の掃除</t>
    <rPh sb="0" eb="1">
      <t>ツクエ</t>
    </rPh>
    <rPh sb="2" eb="4">
      <t>ソウジ</t>
    </rPh>
    <phoneticPr fontId="1"/>
  </si>
  <si>
    <t>Done with B</t>
    <phoneticPr fontId="1"/>
  </si>
  <si>
    <t>TEST</t>
  </si>
  <si>
    <t>TEST</t>
    <phoneticPr fontId="1"/>
  </si>
  <si>
    <t>Oval 1023</t>
  </si>
  <si>
    <t>13,14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</si>
</sst>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7" fillId="0" borderId="0" xfId="0" applyFont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1363568</xdr:colOff>
      <xdr:row>20</xdr:row>
      <xdr:rowOff>74146</xdr:rowOff>
    </xdr:from>
    <xdr:to>
      <xdr:col>1</xdr:col>
      <xdr:colOff>191993</xdr:colOff>
      <xdr:row>24</xdr:row>
      <xdr:rowOff>146984</xdr:rowOff>
    </xdr:to>
    <xdr:sp macro="" textlink="">
      <xdr:nvSpPr>
        <xdr:cNvPr id="1209" name="円/楕円 1208"/>
        <xdr:cNvSpPr/>
      </xdr:nvSpPr>
      <xdr:spPr>
        <a:xfrm>
          <a:off x="1363568" y="3646021"/>
          <a:ext cx="762000" cy="75863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749858</xdr:colOff>
      <xdr:row>15</xdr:row>
      <xdr:rowOff>155575</xdr:rowOff>
    </xdr:from>
    <xdr:to>
      <xdr:col>1</xdr:col>
      <xdr:colOff>1511858</xdr:colOff>
      <xdr:row>20</xdr:row>
      <xdr:rowOff>60325</xdr:rowOff>
    </xdr:to>
    <xdr:sp macro="" textlink="">
      <xdr:nvSpPr>
        <xdr:cNvPr id="1211" name="円/楕円 1210"/>
        <xdr:cNvSpPr/>
      </xdr:nvSpPr>
      <xdr:spPr>
        <a:xfrm>
          <a:off x="2683433" y="28702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968933</xdr:colOff>
      <xdr:row>23</xdr:row>
      <xdr:rowOff>104775</xdr:rowOff>
    </xdr:from>
    <xdr:to>
      <xdr:col>1</xdr:col>
      <xdr:colOff>1730933</xdr:colOff>
      <xdr:row>28</xdr:row>
      <xdr:rowOff>6163</xdr:rowOff>
    </xdr:to>
    <xdr:sp macro="" textlink="">
      <xdr:nvSpPr>
        <xdr:cNvPr id="1212" name="円/楕円 1211"/>
        <xdr:cNvSpPr/>
      </xdr:nvSpPr>
      <xdr:spPr>
        <a:xfrm>
          <a:off x="2902508" y="4191000"/>
          <a:ext cx="762000" cy="75863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2</xdr:col>
      <xdr:colOff>2159373</xdr:colOff>
      <xdr:row>15</xdr:row>
      <xdr:rowOff>92075</xdr:rowOff>
    </xdr:from>
    <xdr:to>
      <xdr:col>2</xdr:col>
      <xdr:colOff>2921373</xdr:colOff>
      <xdr:row>19</xdr:row>
      <xdr:rowOff>168275</xdr:rowOff>
    </xdr:to>
    <xdr:sp macro="" textlink="">
      <xdr:nvSpPr>
        <xdr:cNvPr id="1214" name="円/楕円 1213"/>
        <xdr:cNvSpPr/>
      </xdr:nvSpPr>
      <xdr:spPr>
        <a:xfrm>
          <a:off x="5912223" y="28067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3353173</xdr:colOff>
      <xdr:row>15</xdr:row>
      <xdr:rowOff>15875</xdr:rowOff>
    </xdr:from>
    <xdr:to>
      <xdr:col>3</xdr:col>
      <xdr:colOff>609973</xdr:colOff>
      <xdr:row>19</xdr:row>
      <xdr:rowOff>92075</xdr:rowOff>
    </xdr:to>
    <xdr:sp macro="" textlink="">
      <xdr:nvSpPr>
        <xdr:cNvPr id="1215" name="円/楕円 1214"/>
        <xdr:cNvSpPr/>
      </xdr:nvSpPr>
      <xdr:spPr>
        <a:xfrm>
          <a:off x="7106023" y="27305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3</xdr:col>
      <xdr:colOff>708398</xdr:colOff>
      <xdr:row>12</xdr:row>
      <xdr:rowOff>34925</xdr:rowOff>
    </xdr:from>
    <xdr:to>
      <xdr:col>3</xdr:col>
      <xdr:colOff>1470398</xdr:colOff>
      <xdr:row>16</xdr:row>
      <xdr:rowOff>111125</xdr:rowOff>
    </xdr:to>
    <xdr:sp macro="" textlink="">
      <xdr:nvSpPr>
        <xdr:cNvPr id="1216" name="円/楕円 1215"/>
        <xdr:cNvSpPr/>
      </xdr:nvSpPr>
      <xdr:spPr>
        <a:xfrm>
          <a:off x="7966448" y="22352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4</xdr:col>
      <xdr:colOff>1580403</xdr:colOff>
      <xdr:row>14</xdr:row>
      <xdr:rowOff>53975</xdr:rowOff>
    </xdr:from>
    <xdr:to>
      <xdr:col>5</xdr:col>
      <xdr:colOff>618378</xdr:colOff>
      <xdr:row>18</xdr:row>
      <xdr:rowOff>130175</xdr:rowOff>
    </xdr:to>
    <xdr:sp macro="" textlink="">
      <xdr:nvSpPr>
        <xdr:cNvPr id="1218" name="円/楕円 1217"/>
        <xdr:cNvSpPr/>
      </xdr:nvSpPr>
      <xdr:spPr>
        <a:xfrm>
          <a:off x="10610103" y="25971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品チェック</a:t>
          </a:r>
        </a:p>
      </xdr:txBody>
    </xdr:sp>
    <xdr:clientData/>
  </xdr:twoCellAnchor>
  <xdr:twoCellAnchor>
    <xdr:from>
      <xdr:col>6</xdr:col>
      <xdr:colOff>59578</xdr:colOff>
      <xdr:row>14</xdr:row>
      <xdr:rowOff>53975</xdr:rowOff>
    </xdr:from>
    <xdr:to>
      <xdr:col>7</xdr:col>
      <xdr:colOff>135778</xdr:colOff>
      <xdr:row>18</xdr:row>
      <xdr:rowOff>130175</xdr:rowOff>
    </xdr:to>
    <xdr:sp macro="" textlink="">
      <xdr:nvSpPr>
        <xdr:cNvPr id="1219" name="円/楕円 1218"/>
        <xdr:cNvSpPr/>
      </xdr:nvSpPr>
      <xdr:spPr>
        <a:xfrm>
          <a:off x="11499103" y="25971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7</xdr:col>
      <xdr:colOff>217394</xdr:colOff>
      <xdr:row>14</xdr:row>
      <xdr:rowOff>53975</xdr:rowOff>
    </xdr:from>
    <xdr:to>
      <xdr:col>8</xdr:col>
      <xdr:colOff>291353</xdr:colOff>
      <xdr:row>18</xdr:row>
      <xdr:rowOff>130175</xdr:rowOff>
    </xdr:to>
    <xdr:sp macro="" textlink="">
      <xdr:nvSpPr>
        <xdr:cNvPr id="1220" name="円/楕円 1219"/>
        <xdr:cNvSpPr/>
      </xdr:nvSpPr>
      <xdr:spPr>
        <a:xfrm>
          <a:off x="12342719" y="2597150"/>
          <a:ext cx="759759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1</xdr:col>
      <xdr:colOff>191993</xdr:colOff>
      <xdr:row>18</xdr:row>
      <xdr:rowOff>22225</xdr:rowOff>
    </xdr:from>
    <xdr:to>
      <xdr:col>1</xdr:col>
      <xdr:colOff>749858</xdr:colOff>
      <xdr:row>22</xdr:row>
      <xdr:rowOff>110565</xdr:rowOff>
    </xdr:to>
    <xdr:cxnSp macro="">
      <xdr:nvCxnSpPr>
        <xdr:cNvPr id="1228" name="直線矢印コネクタ 1227"/>
        <xdr:cNvCxnSpPr>
          <a:stCxn id="1209" idx="6"/>
          <a:endCxn id="1211" idx="2"/>
        </xdr:cNvCxnSpPr>
      </xdr:nvCxnSpPr>
      <xdr:spPr>
        <a:xfrm flipV="1">
          <a:off x="2125568" y="3251200"/>
          <a:ext cx="557865" cy="77414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191993</xdr:colOff>
      <xdr:row>22</xdr:row>
      <xdr:rowOff>110565</xdr:rowOff>
    </xdr:from>
    <xdr:to>
      <xdr:col>1</xdr:col>
      <xdr:colOff>968933</xdr:colOff>
      <xdr:row>25</xdr:row>
      <xdr:rowOff>141194</xdr:rowOff>
    </xdr:to>
    <xdr:cxnSp macro="">
      <xdr:nvCxnSpPr>
        <xdr:cNvPr id="1229" name="直線矢印コネクタ 1228"/>
        <xdr:cNvCxnSpPr>
          <a:stCxn id="1209" idx="6"/>
          <a:endCxn id="1212" idx="2"/>
        </xdr:cNvCxnSpPr>
      </xdr:nvCxnSpPr>
      <xdr:spPr>
        <a:xfrm>
          <a:off x="2125568" y="4025340"/>
          <a:ext cx="776940" cy="54497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1511858</xdr:colOff>
      <xdr:row>17</xdr:row>
      <xdr:rowOff>130175</xdr:rowOff>
    </xdr:from>
    <xdr:to>
      <xdr:col>2</xdr:col>
      <xdr:colOff>2159373</xdr:colOff>
      <xdr:row>18</xdr:row>
      <xdr:rowOff>22225</xdr:rowOff>
    </xdr:to>
    <xdr:cxnSp macro="">
      <xdr:nvCxnSpPr>
        <xdr:cNvPr id="1231" name="直線矢印コネクタ 1230"/>
        <xdr:cNvCxnSpPr>
          <a:stCxn id="1211" idx="6"/>
          <a:endCxn id="1214" idx="2"/>
        </xdr:cNvCxnSpPr>
      </xdr:nvCxnSpPr>
      <xdr:spPr>
        <a:xfrm flipV="1">
          <a:off x="3445433" y="3187700"/>
          <a:ext cx="2466790" cy="635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2921373</xdr:colOff>
      <xdr:row>17</xdr:row>
      <xdr:rowOff>53975</xdr:rowOff>
    </xdr:from>
    <xdr:to>
      <xdr:col>2</xdr:col>
      <xdr:colOff>3353173</xdr:colOff>
      <xdr:row>17</xdr:row>
      <xdr:rowOff>130175</xdr:rowOff>
    </xdr:to>
    <xdr:cxnSp macro="">
      <xdr:nvCxnSpPr>
        <xdr:cNvPr id="1236" name="直線矢印コネクタ 1235"/>
        <xdr:cNvCxnSpPr>
          <a:stCxn id="1214" idx="6"/>
          <a:endCxn id="1215" idx="2"/>
        </xdr:cNvCxnSpPr>
      </xdr:nvCxnSpPr>
      <xdr:spPr>
        <a:xfrm flipV="1">
          <a:off x="6674223" y="3111500"/>
          <a:ext cx="431800" cy="762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609973</xdr:colOff>
      <xdr:row>14</xdr:row>
      <xdr:rowOff>73025</xdr:rowOff>
    </xdr:from>
    <xdr:to>
      <xdr:col>3</xdr:col>
      <xdr:colOff>708398</xdr:colOff>
      <xdr:row>17</xdr:row>
      <xdr:rowOff>53975</xdr:rowOff>
    </xdr:to>
    <xdr:cxnSp macro="">
      <xdr:nvCxnSpPr>
        <xdr:cNvPr id="1237" name="直線矢印コネクタ 1236"/>
        <xdr:cNvCxnSpPr>
          <a:stCxn id="1215" idx="6"/>
          <a:endCxn id="1216" idx="2"/>
        </xdr:cNvCxnSpPr>
      </xdr:nvCxnSpPr>
      <xdr:spPr>
        <a:xfrm flipV="1">
          <a:off x="7868023" y="2616200"/>
          <a:ext cx="98425" cy="4953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618378</xdr:colOff>
      <xdr:row>16</xdr:row>
      <xdr:rowOff>92075</xdr:rowOff>
    </xdr:from>
    <xdr:to>
      <xdr:col>6</xdr:col>
      <xdr:colOff>59578</xdr:colOff>
      <xdr:row>16</xdr:row>
      <xdr:rowOff>92075</xdr:rowOff>
    </xdr:to>
    <xdr:cxnSp macro="">
      <xdr:nvCxnSpPr>
        <xdr:cNvPr id="1240" name="直線矢印コネクタ 1239"/>
        <xdr:cNvCxnSpPr>
          <a:stCxn id="1218" idx="6"/>
          <a:endCxn id="1219" idx="2"/>
        </xdr:cNvCxnSpPr>
      </xdr:nvCxnSpPr>
      <xdr:spPr>
        <a:xfrm>
          <a:off x="11372103" y="297815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135778</xdr:colOff>
      <xdr:row>16</xdr:row>
      <xdr:rowOff>92075</xdr:rowOff>
    </xdr:from>
    <xdr:to>
      <xdr:col>7</xdr:col>
      <xdr:colOff>217394</xdr:colOff>
      <xdr:row>16</xdr:row>
      <xdr:rowOff>92075</xdr:rowOff>
    </xdr:to>
    <xdr:cxnSp macro="">
      <xdr:nvCxnSpPr>
        <xdr:cNvPr id="1241" name="直線矢印コネクタ 1240"/>
        <xdr:cNvCxnSpPr>
          <a:stCxn id="1219" idx="6"/>
          <a:endCxn id="1220" idx="2"/>
        </xdr:cNvCxnSpPr>
      </xdr:nvCxnSpPr>
      <xdr:spPr>
        <a:xfrm>
          <a:off x="12261103" y="2978150"/>
          <a:ext cx="81616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859302</xdr:colOff>
      <xdr:row>19</xdr:row>
      <xdr:rowOff>96558</xdr:rowOff>
    </xdr:from>
    <xdr:to>
      <xdr:col>2</xdr:col>
      <xdr:colOff>1626345</xdr:colOff>
      <xdr:row>24</xdr:row>
      <xdr:rowOff>1308</xdr:rowOff>
    </xdr:to>
    <xdr:sp macro="" textlink="">
      <xdr:nvSpPr>
        <xdr:cNvPr id="1256" name="円/楕円 1255"/>
        <xdr:cNvSpPr/>
      </xdr:nvSpPr>
      <xdr:spPr>
        <a:xfrm>
          <a:off x="4612152" y="3496983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1730933</xdr:colOff>
      <xdr:row>21</xdr:row>
      <xdr:rowOff>134658</xdr:rowOff>
    </xdr:from>
    <xdr:to>
      <xdr:col>2</xdr:col>
      <xdr:colOff>859302</xdr:colOff>
      <xdr:row>25</xdr:row>
      <xdr:rowOff>141194</xdr:rowOff>
    </xdr:to>
    <xdr:cxnSp macro="">
      <xdr:nvCxnSpPr>
        <xdr:cNvPr id="1257" name="直線矢印コネクタ 1256"/>
        <xdr:cNvCxnSpPr>
          <a:stCxn id="1212" idx="6"/>
          <a:endCxn id="1256" idx="2"/>
        </xdr:cNvCxnSpPr>
      </xdr:nvCxnSpPr>
      <xdr:spPr>
        <a:xfrm flipV="1">
          <a:off x="3664508" y="3877983"/>
          <a:ext cx="947644" cy="69233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1626345</xdr:colOff>
      <xdr:row>17</xdr:row>
      <xdr:rowOff>130175</xdr:rowOff>
    </xdr:from>
    <xdr:to>
      <xdr:col>2</xdr:col>
      <xdr:colOff>2159373</xdr:colOff>
      <xdr:row>21</xdr:row>
      <xdr:rowOff>134658</xdr:rowOff>
    </xdr:to>
    <xdr:cxnSp macro="">
      <xdr:nvCxnSpPr>
        <xdr:cNvPr id="1258" name="直線矢印コネクタ 1257"/>
        <xdr:cNvCxnSpPr>
          <a:stCxn id="1256" idx="6"/>
          <a:endCxn id="1214" idx="2"/>
        </xdr:cNvCxnSpPr>
      </xdr:nvCxnSpPr>
      <xdr:spPr>
        <a:xfrm flipV="1">
          <a:off x="5379195" y="3187700"/>
          <a:ext cx="533028" cy="690283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645272</xdr:colOff>
      <xdr:row>17</xdr:row>
      <xdr:rowOff>54535</xdr:rowOff>
    </xdr:from>
    <xdr:to>
      <xdr:col>4</xdr:col>
      <xdr:colOff>1412315</xdr:colOff>
      <xdr:row>21</xdr:row>
      <xdr:rowOff>127373</xdr:rowOff>
    </xdr:to>
    <xdr:sp macro="" textlink="">
      <xdr:nvSpPr>
        <xdr:cNvPr id="11" name="円/楕円 10"/>
        <xdr:cNvSpPr/>
      </xdr:nvSpPr>
      <xdr:spPr>
        <a:xfrm>
          <a:off x="9674972" y="3112060"/>
          <a:ext cx="767043" cy="75863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8</xdr:col>
      <xdr:colOff>219823</xdr:colOff>
      <xdr:row>22</xdr:row>
      <xdr:rowOff>102160</xdr:rowOff>
    </xdr:from>
    <xdr:to>
      <xdr:col>9</xdr:col>
      <xdr:colOff>298264</xdr:colOff>
      <xdr:row>27</xdr:row>
      <xdr:rowOff>3548</xdr:rowOff>
    </xdr:to>
    <xdr:sp macro="" textlink="">
      <xdr:nvSpPr>
        <xdr:cNvPr id="12" name="円/楕円 11"/>
        <xdr:cNvSpPr/>
      </xdr:nvSpPr>
      <xdr:spPr>
        <a:xfrm>
          <a:off x="13030948" y="4016935"/>
          <a:ext cx="764241" cy="75863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14.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4</xdr:col>
      <xdr:colOff>1412315</xdr:colOff>
      <xdr:row>16</xdr:row>
      <xdr:rowOff>92075</xdr:rowOff>
    </xdr:from>
    <xdr:to>
      <xdr:col>4</xdr:col>
      <xdr:colOff>1580403</xdr:colOff>
      <xdr:row>19</xdr:row>
      <xdr:rowOff>90954</xdr:rowOff>
    </xdr:to>
    <xdr:cxnSp macro="">
      <xdr:nvCxnSpPr>
        <xdr:cNvPr id="14" name="直線矢印コネクタ 13"/>
        <xdr:cNvCxnSpPr>
          <a:stCxn id="11" idx="6"/>
          <a:endCxn id="1218" idx="2"/>
        </xdr:cNvCxnSpPr>
      </xdr:nvCxnSpPr>
      <xdr:spPr>
        <a:xfrm flipV="1">
          <a:off x="10442015" y="2978150"/>
          <a:ext cx="168088" cy="51322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219823</xdr:colOff>
      <xdr:row>16</xdr:row>
      <xdr:rowOff>92075</xdr:rowOff>
    </xdr:from>
    <xdr:to>
      <xdr:col>8</xdr:col>
      <xdr:colOff>291353</xdr:colOff>
      <xdr:row>24</xdr:row>
      <xdr:rowOff>138579</xdr:rowOff>
    </xdr:to>
    <xdr:cxnSp macro="">
      <xdr:nvCxnSpPr>
        <xdr:cNvPr id="17" name="直線矢印コネクタ 16"/>
        <xdr:cNvCxnSpPr>
          <a:stCxn id="1220" idx="6"/>
          <a:endCxn id="12" idx="2"/>
        </xdr:cNvCxnSpPr>
      </xdr:nvCxnSpPr>
      <xdr:spPr>
        <a:xfrm flipH="1">
          <a:off x="13030948" y="2978150"/>
          <a:ext cx="71530" cy="14181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12</xdr:row>
      <xdr:rowOff>73025</xdr:rowOff>
    </xdr:from>
    <xdr:to>
      <xdr:col>9</xdr:col>
      <xdr:colOff>669925</xdr:colOff>
      <xdr:row>16</xdr:row>
      <xdr:rowOff>149225</xdr:rowOff>
    </xdr:to>
    <xdr:sp macro="" textlink="">
      <xdr:nvSpPr>
        <xdr:cNvPr id="4" name="円/楕円 3"/>
        <xdr:cNvSpPr/>
      </xdr:nvSpPr>
      <xdr:spPr>
        <a:xfrm>
          <a:off x="13404850" y="22733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9</xdr:col>
      <xdr:colOff>549275</xdr:colOff>
      <xdr:row>19</xdr:row>
      <xdr:rowOff>6350</xdr:rowOff>
    </xdr:from>
    <xdr:to>
      <xdr:col>10</xdr:col>
      <xdr:colOff>625475</xdr:colOff>
      <xdr:row>23</xdr:row>
      <xdr:rowOff>82550</xdr:rowOff>
    </xdr:to>
    <xdr:sp macro="" textlink="">
      <xdr:nvSpPr>
        <xdr:cNvPr id="5" name="円/楕円 4"/>
        <xdr:cNvSpPr/>
      </xdr:nvSpPr>
      <xdr:spPr>
        <a:xfrm>
          <a:off x="14046200" y="34067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15.EN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704850</xdr:colOff>
      <xdr:row>10</xdr:row>
      <xdr:rowOff>158750</xdr:rowOff>
    </xdr:from>
    <xdr:to>
      <xdr:col>2</xdr:col>
      <xdr:colOff>1466850</xdr:colOff>
      <xdr:row>15</xdr:row>
      <xdr:rowOff>63500</xdr:rowOff>
    </xdr:to>
    <xdr:sp macro="" textlink="">
      <xdr:nvSpPr>
        <xdr:cNvPr id="6" name="円/楕円 5"/>
        <xdr:cNvSpPr/>
      </xdr:nvSpPr>
      <xdr:spPr>
        <a:xfrm>
          <a:off x="4457700" y="20161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  <a:r>
            <a:rPr kumimoji="1" lang="en-US" altLang="ja-JP" sz="1100">
              <a:solidFill>
                <a:srgbClr val="000000"/>
              </a:solidFill>
            </a:rPr>
            <a:t>_</a:t>
          </a:r>
          <a:r>
            <a:rPr kumimoji="1" lang="ja-JP" altLang="en-US" sz="1100">
              <a:solidFill>
                <a:srgbClr val="000000"/>
              </a:solidFill>
            </a:rPr>
            <a:t>訂正</a:t>
          </a:r>
        </a:p>
      </xdr:txBody>
    </xdr:sp>
    <xdr:clientData/>
  </xdr:twoCellAnchor>
  <xdr:twoCellAnchor>
    <xdr:from>
      <xdr:col>9</xdr:col>
      <xdr:colOff>298264</xdr:colOff>
      <xdr:row>21</xdr:row>
      <xdr:rowOff>44450</xdr:rowOff>
    </xdr:from>
    <xdr:to>
      <xdr:col>9</xdr:col>
      <xdr:colOff>549275</xdr:colOff>
      <xdr:row>24</xdr:row>
      <xdr:rowOff>138579</xdr:rowOff>
    </xdr:to>
    <xdr:cxnSp macro="">
      <xdr:nvCxnSpPr>
        <xdr:cNvPr id="7" name="直線矢印コネクタ 6"/>
        <xdr:cNvCxnSpPr>
          <a:stCxn id="12" idx="6"/>
          <a:endCxn id="5" idx="2"/>
        </xdr:cNvCxnSpPr>
      </xdr:nvCxnSpPr>
      <xdr:spPr>
        <a:xfrm flipV="1">
          <a:off x="13795189" y="3787775"/>
          <a:ext cx="251011" cy="60847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549275</xdr:colOff>
      <xdr:row>14</xdr:row>
      <xdr:rowOff>111125</xdr:rowOff>
    </xdr:from>
    <xdr:to>
      <xdr:col>9</xdr:col>
      <xdr:colOff>669925</xdr:colOff>
      <xdr:row>21</xdr:row>
      <xdr:rowOff>44450</xdr:rowOff>
    </xdr:to>
    <xdr:cxnSp macro="">
      <xdr:nvCxnSpPr>
        <xdr:cNvPr id="8" name="直線矢印コネクタ 7"/>
        <xdr:cNvCxnSpPr>
          <a:stCxn id="4" idx="6"/>
          <a:endCxn id="5" idx="2"/>
        </xdr:cNvCxnSpPr>
      </xdr:nvCxnSpPr>
      <xdr:spPr>
        <a:xfrm flipH="1">
          <a:off x="14046200" y="2654300"/>
          <a:ext cx="120650" cy="11334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291353</xdr:colOff>
      <xdr:row>14</xdr:row>
      <xdr:rowOff>111125</xdr:rowOff>
    </xdr:from>
    <xdr:to>
      <xdr:col>8</xdr:col>
      <xdr:colOff>593725</xdr:colOff>
      <xdr:row>16</xdr:row>
      <xdr:rowOff>92075</xdr:rowOff>
    </xdr:to>
    <xdr:cxnSp macro="">
      <xdr:nvCxnSpPr>
        <xdr:cNvPr id="9" name="直線矢印コネクタ 8"/>
        <xdr:cNvCxnSpPr>
          <a:stCxn id="1220" idx="6"/>
          <a:endCxn id="4" idx="2"/>
        </xdr:cNvCxnSpPr>
      </xdr:nvCxnSpPr>
      <xdr:spPr>
        <a:xfrm flipV="1">
          <a:off x="13102478" y="2654300"/>
          <a:ext cx="302372" cy="323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1511858</xdr:colOff>
      <xdr:row>13</xdr:row>
      <xdr:rowOff>25400</xdr:rowOff>
    </xdr:from>
    <xdr:to>
      <xdr:col>2</xdr:col>
      <xdr:colOff>704850</xdr:colOff>
      <xdr:row>18</xdr:row>
      <xdr:rowOff>22225</xdr:rowOff>
    </xdr:to>
    <xdr:cxnSp macro="">
      <xdr:nvCxnSpPr>
        <xdr:cNvPr id="10" name="直線矢印コネクタ 9"/>
        <xdr:cNvCxnSpPr>
          <a:stCxn id="1211" idx="6"/>
          <a:endCxn id="6" idx="2"/>
        </xdr:cNvCxnSpPr>
      </xdr:nvCxnSpPr>
      <xdr:spPr>
        <a:xfrm flipV="1">
          <a:off x="3445433" y="2397125"/>
          <a:ext cx="1012267" cy="8540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1466850</xdr:colOff>
      <xdr:row>13</xdr:row>
      <xdr:rowOff>25400</xdr:rowOff>
    </xdr:from>
    <xdr:to>
      <xdr:col>2</xdr:col>
      <xdr:colOff>2159373</xdr:colOff>
      <xdr:row>17</xdr:row>
      <xdr:rowOff>130175</xdr:rowOff>
    </xdr:to>
    <xdr:cxnSp macro="">
      <xdr:nvCxnSpPr>
        <xdr:cNvPr id="15" name="直線矢印コネクタ 14"/>
        <xdr:cNvCxnSpPr>
          <a:stCxn id="6" idx="6"/>
          <a:endCxn id="1214" idx="2"/>
        </xdr:cNvCxnSpPr>
      </xdr:nvCxnSpPr>
      <xdr:spPr>
        <a:xfrm>
          <a:off x="5219700" y="2397125"/>
          <a:ext cx="692523" cy="7905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1384300</xdr:colOff>
      <xdr:row>18</xdr:row>
      <xdr:rowOff>101600</xdr:rowOff>
    </xdr:from>
    <xdr:to>
      <xdr:col>4</xdr:col>
      <xdr:colOff>374650</xdr:colOff>
      <xdr:row>23</xdr:row>
      <xdr:rowOff>6350</xdr:rowOff>
    </xdr:to>
    <xdr:sp macro="" textlink="">
      <xdr:nvSpPr>
        <xdr:cNvPr id="1024" name="円/楕円 1023"/>
        <xdr:cNvSpPr/>
      </xdr:nvSpPr>
      <xdr:spPr>
        <a:xfrm>
          <a:off x="8642350" y="33305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8.TES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1384300</xdr:colOff>
      <xdr:row>14</xdr:row>
      <xdr:rowOff>73025</xdr:rowOff>
    </xdr:from>
    <xdr:to>
      <xdr:col>3</xdr:col>
      <xdr:colOff>1470398</xdr:colOff>
      <xdr:row>20</xdr:row>
      <xdr:rowOff>139700</xdr:rowOff>
    </xdr:to>
    <xdr:cxnSp macro="">
      <xdr:nvCxnSpPr>
        <xdr:cNvPr id="1025" name="直線矢印コネクタ 1024"/>
        <xdr:cNvCxnSpPr>
          <a:stCxn id="1216" idx="6"/>
          <a:endCxn id="1024" idx="2"/>
        </xdr:cNvCxnSpPr>
      </xdr:nvCxnSpPr>
      <xdr:spPr>
        <a:xfrm flipH="1">
          <a:off x="8642350" y="2616200"/>
          <a:ext cx="86098" cy="10953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374650</xdr:colOff>
      <xdr:row>19</xdr:row>
      <xdr:rowOff>90954</xdr:rowOff>
    </xdr:from>
    <xdr:to>
      <xdr:col>4</xdr:col>
      <xdr:colOff>645272</xdr:colOff>
      <xdr:row>20</xdr:row>
      <xdr:rowOff>139700</xdr:rowOff>
    </xdr:to>
    <xdr:cxnSp macro="">
      <xdr:nvCxnSpPr>
        <xdr:cNvPr id="1026" name="直線矢印コネクタ 1025"/>
        <xdr:cNvCxnSpPr>
          <a:stCxn id="1024" idx="6"/>
          <a:endCxn id="11" idx="2"/>
        </xdr:cNvCxnSpPr>
      </xdr:nvCxnSpPr>
      <xdr:spPr>
        <a:xfrm flipV="1">
          <a:off x="9404350" y="3491379"/>
          <a:ext cx="270622" cy="22019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C19"/>
  <sheetViews>
    <sheetView tabSelected="1" workbookViewId="0"/>
  </sheetViews>
  <sheetFormatPr defaultRowHeight="13.5" x14ac:dyDescent="0.15"/>
  <cols>
    <col min="1" max="1" width="6.125" customWidth="1"/>
    <col min="2" max="2" width="23.125" bestFit="1" customWidth="1"/>
    <col min="3" max="3" width="29.375" bestFit="1" customWidth="1"/>
  </cols>
  <sheetData>
    <row r="1" spans="1:3" s="2" customFormat="1" ht="42" x14ac:dyDescent="0.15">
      <c r="A1" s="1" t="s">
        <v>33</v>
      </c>
    </row>
    <row r="3" spans="1:3" x14ac:dyDescent="0.15">
      <c r="A3" s="3" t="s">
        <v>62</v>
      </c>
      <c r="B3" s="3" t="s">
        <v>34</v>
      </c>
      <c r="C3" s="3" t="s">
        <v>36</v>
      </c>
    </row>
    <row r="4" spans="1:3" x14ac:dyDescent="0.15">
      <c r="A4">
        <v>0</v>
      </c>
      <c r="B4" s="11" t="s">
        <v>37</v>
      </c>
      <c r="C4" s="11" t="s">
        <v>39</v>
      </c>
    </row>
    <row r="5" spans="1:3" x14ac:dyDescent="0.15">
      <c r="A5">
        <v>1</v>
      </c>
      <c r="B5" t="s">
        <v>0</v>
      </c>
      <c r="C5" t="s">
        <v>40</v>
      </c>
    </row>
    <row r="6" spans="1:3" x14ac:dyDescent="0.15">
      <c r="A6">
        <v>2</v>
      </c>
      <c r="B6" t="s">
        <v>49</v>
      </c>
      <c r="C6" t="s">
        <v>69</v>
      </c>
    </row>
    <row r="7" spans="1:3" x14ac:dyDescent="0.15">
      <c r="A7">
        <v>3</v>
      </c>
      <c r="B7" t="s">
        <v>1</v>
      </c>
      <c r="C7" t="s">
        <v>41</v>
      </c>
    </row>
    <row r="8" spans="1:3" x14ac:dyDescent="0.15">
      <c r="A8">
        <v>4</v>
      </c>
      <c r="B8" t="s">
        <v>65</v>
      </c>
      <c r="C8" t="s">
        <v>50</v>
      </c>
    </row>
    <row r="9" spans="1:3" x14ac:dyDescent="0.15">
      <c r="A9">
        <v>5</v>
      </c>
      <c r="B9" t="s">
        <v>2</v>
      </c>
      <c r="C9" t="s">
        <v>42</v>
      </c>
    </row>
    <row r="10" spans="1:3" x14ac:dyDescent="0.15">
      <c r="A10">
        <v>6</v>
      </c>
      <c r="B10" t="s">
        <v>3</v>
      </c>
      <c r="C10" t="s">
        <v>43</v>
      </c>
    </row>
    <row r="11" spans="1:3" x14ac:dyDescent="0.15">
      <c r="A11">
        <v>7</v>
      </c>
      <c r="B11" t="s">
        <v>70</v>
      </c>
      <c r="C11" t="s">
        <v>44</v>
      </c>
    </row>
    <row r="12" spans="1:3" x14ac:dyDescent="0.15">
      <c r="A12">
        <v>9</v>
      </c>
      <c r="B12" t="s">
        <v>4</v>
      </c>
      <c r="C12" t="s">
        <v>59</v>
      </c>
    </row>
    <row r="13" spans="1:3" x14ac:dyDescent="0.15">
      <c r="A13">
        <v>10</v>
      </c>
      <c r="B13" t="s">
        <v>10</v>
      </c>
      <c r="C13" t="s">
        <v>45</v>
      </c>
    </row>
    <row r="14" spans="1:3" x14ac:dyDescent="0.15">
      <c r="A14">
        <v>11</v>
      </c>
      <c r="B14" t="s">
        <v>11</v>
      </c>
      <c r="C14" t="s">
        <v>46</v>
      </c>
    </row>
    <row r="15" spans="1:3" x14ac:dyDescent="0.15">
      <c r="A15">
        <v>12</v>
      </c>
      <c r="B15" t="s">
        <v>12</v>
      </c>
      <c r="C15" t="s">
        <v>47</v>
      </c>
    </row>
    <row r="16" spans="1:3" x14ac:dyDescent="0.15">
      <c r="A16">
        <v>13</v>
      </c>
      <c r="B16" t="s">
        <v>66</v>
      </c>
      <c r="C16" t="s">
        <v>67</v>
      </c>
    </row>
    <row r="17" spans="1:3" x14ac:dyDescent="0.15">
      <c r="A17">
        <v>14</v>
      </c>
      <c r="B17" t="s">
        <v>9</v>
      </c>
      <c r="C17" t="s">
        <v>60</v>
      </c>
    </row>
    <row r="18" spans="1:3" x14ac:dyDescent="0.15">
      <c r="A18">
        <v>15</v>
      </c>
      <c r="B18" t="s">
        <v>38</v>
      </c>
      <c r="C18" t="s">
        <v>68</v>
      </c>
    </row>
    <row r="19" spans="1:3" x14ac:dyDescent="0.15">
      <c r="A19">
        <v>8</v>
      </c>
      <c r="B19" t="s">
        <v>73</v>
      </c>
      <c r="C19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5</v>
      </c>
      <c r="B1" s="7" t="s">
        <v>6</v>
      </c>
      <c r="C1" s="7" t="s">
        <v>7</v>
      </c>
      <c r="D1" s="7" t="s">
        <v>35</v>
      </c>
      <c r="E1" s="7" t="s">
        <v>8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20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5.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18</v>
      </c>
    </row>
    <row r="3" spans="1:6" x14ac:dyDescent="0.15">
      <c r="A3" s="3" t="s">
        <v>13</v>
      </c>
      <c r="B3" s="3" t="s">
        <v>14</v>
      </c>
      <c r="C3" s="3" t="s">
        <v>17</v>
      </c>
      <c r="D3" s="3" t="s">
        <v>32</v>
      </c>
      <c r="E3" s="3" t="s">
        <v>15</v>
      </c>
      <c r="F3" s="3" t="s">
        <v>16</v>
      </c>
    </row>
    <row r="4" spans="1:6" x14ac:dyDescent="0.15">
      <c r="A4">
        <v>0</v>
      </c>
      <c r="B4" t="s">
        <v>19</v>
      </c>
      <c r="D4">
        <v>1</v>
      </c>
      <c r="E4" s="8">
        <v>44344</v>
      </c>
      <c r="F4" s="8">
        <f>WORKDAY(E4,D4,Holidays!A:A)</f>
        <v>44347</v>
      </c>
    </row>
    <row r="5" spans="1:6" x14ac:dyDescent="0.15">
      <c r="A5">
        <v>1</v>
      </c>
      <c r="B5" t="s">
        <v>21</v>
      </c>
      <c r="C5">
        <v>0</v>
      </c>
      <c r="D5">
        <v>1</v>
      </c>
      <c r="E5" s="8">
        <f>WORKDAY(MAX(F4),1,Holidays!A:A)</f>
        <v>44348</v>
      </c>
      <c r="F5" s="8">
        <f>WORKDAY(E5,D5,Holidays!A:A)</f>
        <v>44349</v>
      </c>
    </row>
    <row r="6" spans="1:6" x14ac:dyDescent="0.15">
      <c r="A6">
        <v>2</v>
      </c>
      <c r="B6" t="s">
        <v>48</v>
      </c>
      <c r="C6">
        <v>1</v>
      </c>
      <c r="D6">
        <v>1</v>
      </c>
      <c r="E6" s="8">
        <f>WORKDAY(MAX(F5),1,Holidays!A:A)</f>
        <v>44350</v>
      </c>
      <c r="F6" s="8">
        <f>WORKDAY(E6,D6,Holidays!A:A)</f>
        <v>44351</v>
      </c>
    </row>
    <row r="7" spans="1:6" x14ac:dyDescent="0.15">
      <c r="A7">
        <v>3</v>
      </c>
      <c r="B7" t="s">
        <v>28</v>
      </c>
      <c r="C7">
        <v>0</v>
      </c>
      <c r="D7">
        <v>1</v>
      </c>
      <c r="E7" s="8">
        <f>WORKDAY(MAX(F4),1,Holidays!A:A)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64</v>
      </c>
      <c r="C8">
        <v>3</v>
      </c>
      <c r="D8">
        <v>1</v>
      </c>
      <c r="E8" s="8">
        <f>WORKDAY(MAX(F7),1,Holidays!A:A)</f>
        <v>44350</v>
      </c>
      <c r="F8" s="8">
        <f>WORKDAY(E8,D8,Holidays!A:A)</f>
        <v>44351</v>
      </c>
    </row>
    <row r="9" spans="1:6" x14ac:dyDescent="0.15">
      <c r="A9">
        <v>5</v>
      </c>
      <c r="B9" t="s">
        <v>30</v>
      </c>
      <c r="C9" t="s">
        <v>63</v>
      </c>
      <c r="D9">
        <v>1</v>
      </c>
      <c r="E9" s="8">
        <f>WORKDAY(MAX(F5,F6,F8),1,Holidays!A:A)</f>
        <v>44354</v>
      </c>
      <c r="F9" s="8">
        <f>WORKDAY(E9,D9,Holidays!A:A)</f>
        <v>44355</v>
      </c>
    </row>
    <row r="10" spans="1:6" x14ac:dyDescent="0.15">
      <c r="A10">
        <v>6</v>
      </c>
      <c r="B10" t="s">
        <v>29</v>
      </c>
      <c r="C10">
        <v>5</v>
      </c>
      <c r="D10">
        <v>1</v>
      </c>
      <c r="E10" s="8">
        <f>WORKDAY(MAX(F9),1,Holidays!A:A)</f>
        <v>44356</v>
      </c>
      <c r="F10" s="8">
        <f>WORKDAY(E10,D10,Holidays!A:A)</f>
        <v>44357</v>
      </c>
    </row>
    <row r="11" spans="1:6" x14ac:dyDescent="0.15">
      <c r="A11">
        <v>7</v>
      </c>
      <c r="B11" t="s">
        <v>22</v>
      </c>
      <c r="C11">
        <v>6</v>
      </c>
      <c r="D11">
        <v>1</v>
      </c>
      <c r="E11" s="8">
        <f>WORKDAY(MAX(F10),1,Holidays!A:A)</f>
        <v>44358</v>
      </c>
      <c r="F11" s="8">
        <f>WORKDAY(E11,D11,Holidays!A:A)</f>
        <v>44361</v>
      </c>
    </row>
    <row r="12" spans="1:6" x14ac:dyDescent="0.15">
      <c r="A12">
        <v>8</v>
      </c>
      <c r="B12" t="s">
        <v>72</v>
      </c>
      <c r="C12">
        <v>7</v>
      </c>
      <c r="D12">
        <v>1</v>
      </c>
      <c r="E12" s="8">
        <f>WORKDAY(MAX(F11),1,Holidays!A:A)</f>
        <v>44362</v>
      </c>
      <c r="F12" s="8">
        <f>WORKDAY(E12,D12,Holidays!A:A)</f>
        <v>44363</v>
      </c>
    </row>
    <row r="13" spans="1:6" x14ac:dyDescent="0.15">
      <c r="A13">
        <v>9</v>
      </c>
      <c r="B13" t="s">
        <v>20</v>
      </c>
      <c r="C13">
        <v>8</v>
      </c>
      <c r="D13">
        <v>1</v>
      </c>
      <c r="E13" s="8">
        <f>WORKDAY(MAX(F12),1,Holidays!A:A)</f>
        <v>44364</v>
      </c>
      <c r="F13" s="8">
        <f>WORKDAY(E13,D13,Holidays!A:A)</f>
        <v>44365</v>
      </c>
    </row>
    <row r="14" spans="1:6" x14ac:dyDescent="0.15">
      <c r="A14">
        <v>10</v>
      </c>
      <c r="B14" t="s">
        <v>24</v>
      </c>
      <c r="C14">
        <v>9</v>
      </c>
      <c r="D14">
        <v>1</v>
      </c>
      <c r="E14" s="8">
        <f>WORKDAY(MAX(F13),1,Holidays!A:A)</f>
        <v>44368</v>
      </c>
      <c r="F14" s="8">
        <f>WORKDAY(E14,D14,Holidays!A:A)</f>
        <v>44369</v>
      </c>
    </row>
    <row r="15" spans="1:6" x14ac:dyDescent="0.15">
      <c r="A15">
        <v>11</v>
      </c>
      <c r="B15" t="s">
        <v>25</v>
      </c>
      <c r="C15">
        <v>10</v>
      </c>
      <c r="D15">
        <v>1</v>
      </c>
      <c r="E15" s="8">
        <f>WORKDAY(MAX(F14),1,Holidays!A:A)</f>
        <v>44370</v>
      </c>
      <c r="F15" s="8">
        <f>WORKDAY(E15,D15,Holidays!A:A)</f>
        <v>44371</v>
      </c>
    </row>
    <row r="16" spans="1:6" x14ac:dyDescent="0.15">
      <c r="A16">
        <v>12</v>
      </c>
      <c r="B16" t="s">
        <v>26</v>
      </c>
      <c r="C16">
        <v>11</v>
      </c>
      <c r="D16">
        <v>1</v>
      </c>
      <c r="E16" s="8">
        <f>WORKDAY(MAX(F15),1,Holidays!A:A)</f>
        <v>44372</v>
      </c>
      <c r="F16" s="8">
        <f>WORKDAY(E16,D16,Holidays!A:A)</f>
        <v>44375</v>
      </c>
    </row>
    <row r="17" spans="1:6" x14ac:dyDescent="0.15">
      <c r="A17">
        <v>13</v>
      </c>
      <c r="B17" t="s">
        <v>23</v>
      </c>
      <c r="C17">
        <v>12</v>
      </c>
      <c r="D17">
        <v>1</v>
      </c>
      <c r="E17" s="8">
        <f>WORKDAY(MAX(F16),1,Holidays!A:A)</f>
        <v>44376</v>
      </c>
      <c r="F17" s="8">
        <f>WORKDAY(E17,D17,Holidays!A:A)</f>
        <v>44377</v>
      </c>
    </row>
    <row r="18" spans="1:6" x14ac:dyDescent="0.15">
      <c r="A18">
        <v>14</v>
      </c>
      <c r="B18" t="s">
        <v>27</v>
      </c>
      <c r="C18">
        <v>12</v>
      </c>
      <c r="D18">
        <v>1</v>
      </c>
      <c r="E18" s="8">
        <f>WORKDAY(MAX(F16),1,Holidays!A:A)</f>
        <v>44376</v>
      </c>
      <c r="F18" s="8">
        <f>WORKDAY(E18,D18,Holidays!A:A)</f>
        <v>44377</v>
      </c>
    </row>
    <row r="19" spans="1:6" x14ac:dyDescent="0.15">
      <c r="A19">
        <v>15</v>
      </c>
      <c r="B19" t="s">
        <v>31</v>
      </c>
      <c r="C19" t="s">
        <v>75</v>
      </c>
      <c r="D19">
        <v>1</v>
      </c>
      <c r="E19" s="8">
        <f>WORKDAY(MAX(F17,F18),1,Holidays!A:A)</f>
        <v>44378</v>
      </c>
      <c r="F19" s="8">
        <f>WORKDAY(E19,D19,Holidays!A:A)</f>
        <v>44379</v>
      </c>
    </row>
    <row r="20" spans="1:6" x14ac:dyDescent="0.15">
      <c r="E20" s="8"/>
      <c r="F20" s="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/>
  </sheetViews>
  <sheetFormatPr defaultRowHeight="13.5" x14ac:dyDescent="0.15"/>
  <cols>
    <col min="2" max="2" width="54.75" bestFit="1" customWidth="1"/>
    <col min="3" max="3" width="49.25" customWidth="1"/>
  </cols>
  <sheetData>
    <row r="1" spans="1:4" x14ac:dyDescent="0.15">
      <c r="A1" s="3" t="s">
        <v>51</v>
      </c>
      <c r="B1" s="3" t="s">
        <v>52</v>
      </c>
      <c r="C1" s="3" t="s">
        <v>54</v>
      </c>
      <c r="D1" s="3" t="s">
        <v>57</v>
      </c>
    </row>
    <row r="2" spans="1:4" s="12" customFormat="1" ht="67.5" x14ac:dyDescent="0.15">
      <c r="A2" s="12">
        <v>1</v>
      </c>
      <c r="B2" s="12" t="s">
        <v>53</v>
      </c>
      <c r="C2" s="13" t="s">
        <v>55</v>
      </c>
      <c r="D2" s="12" t="s">
        <v>71</v>
      </c>
    </row>
    <row r="3" spans="1:4" s="12" customFormat="1" x14ac:dyDescent="0.15">
      <c r="A3" s="12">
        <v>2</v>
      </c>
      <c r="B3" s="12" t="s">
        <v>56</v>
      </c>
      <c r="C3" s="12" t="s">
        <v>58</v>
      </c>
      <c r="D3" s="12" t="s">
        <v>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TaskList</vt:lpstr>
      <vt:lpstr>Draw</vt:lpstr>
      <vt:lpstr>Schedule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2021-05-27T17:31:23Z</dcterms:modified>
</cp:coreProperties>
</file>