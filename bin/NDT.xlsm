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o_\dev\NetworkDiagramToolForExcel\bin\"/>
    </mc:Choice>
  </mc:AlternateContent>
  <bookViews>
    <workbookView xWindow="0" yWindow="0" windowWidth="17895" windowHeight="8490" activeTab="1"/>
  </bookViews>
  <sheets>
    <sheet name="Schedule" sheetId="3" r:id="rId1"/>
    <sheet name="Draw" sheetId="1" r:id="rId2"/>
    <sheet name="Icon" sheetId="5" r:id="rId3"/>
    <sheet name="Holidays" sheetId="4" r:id="rId4"/>
    <sheet name="Config" sheetId="6" r:id="rId5"/>
  </sheets>
  <functionGroups builtInGroupCount="18"/>
  <definedNames>
    <definedName name="_xlnm._FilterDatabase" localSheetId="0" hidden="1">Schedule!$A$3:$J$15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 l="1"/>
  <c r="E8" i="3" s="1"/>
  <c r="F8" i="3" s="1"/>
  <c r="E6" i="3" l="1"/>
  <c r="F6" i="3" s="1"/>
  <c r="E10" i="3" s="1"/>
  <c r="F10" i="3" s="1"/>
  <c r="E7" i="3"/>
  <c r="F7" i="3" s="1"/>
  <c r="E11" i="3" s="1"/>
  <c r="F11" i="3" s="1"/>
  <c r="E5" i="3"/>
  <c r="F5" i="3" s="1"/>
  <c r="E9" i="3" s="1"/>
  <c r="F9" i="3" s="1"/>
  <c r="E12" i="3" s="1"/>
  <c r="F12" i="3" s="1"/>
  <c r="E13" i="3" s="1"/>
  <c r="F13" i="3" s="1"/>
  <c r="E14" i="3" s="1"/>
  <c r="F14" i="3" s="1"/>
  <c r="E15" i="3" s="1"/>
  <c r="F15" i="3" s="1"/>
</calcChain>
</file>

<file path=xl/sharedStrings.xml><?xml version="1.0" encoding="utf-8"?>
<sst xmlns="http://schemas.openxmlformats.org/spreadsheetml/2006/main" count="51" uniqueCount="51">
  <si>
    <t>Initiate</t>
    <phoneticPr fontId="1"/>
  </si>
  <si>
    <t>Locate</t>
    <phoneticPr fontId="1"/>
  </si>
  <si>
    <t>Connect</t>
    <phoneticPr fontId="1"/>
  </si>
  <si>
    <t>Remove</t>
    <phoneticPr fontId="1"/>
  </si>
  <si>
    <t>No</t>
    <phoneticPr fontId="1"/>
  </si>
  <si>
    <t>Task Name</t>
    <phoneticPr fontId="1"/>
  </si>
  <si>
    <t>Planned Start</t>
    <phoneticPr fontId="1"/>
  </si>
  <si>
    <t>Planned End</t>
    <phoneticPr fontId="1"/>
  </si>
  <si>
    <t>Dependency</t>
    <phoneticPr fontId="1"/>
  </si>
  <si>
    <t>Schedule</t>
    <phoneticPr fontId="1"/>
  </si>
  <si>
    <t>Duration</t>
    <phoneticPr fontId="1"/>
  </si>
  <si>
    <t>Number</t>
    <phoneticPr fontId="1"/>
  </si>
  <si>
    <t>Assign To</t>
    <phoneticPr fontId="1"/>
  </si>
  <si>
    <t>Start Offset</t>
    <phoneticPr fontId="1"/>
  </si>
  <si>
    <t>Wait for day of the week</t>
    <phoneticPr fontId="1"/>
  </si>
  <si>
    <t>Shape Object Name</t>
    <phoneticPr fontId="1"/>
  </si>
  <si>
    <t>Scheduleシートにスケジュールをプロット</t>
    <phoneticPr fontId="1"/>
  </si>
  <si>
    <t>END</t>
    <phoneticPr fontId="1"/>
  </si>
  <si>
    <t>ddd</t>
    <phoneticPr fontId="1"/>
  </si>
  <si>
    <t>タスクのナンバリング</t>
    <phoneticPr fontId="1"/>
  </si>
  <si>
    <t>Don't remove these icons. This is referred from Macro.</t>
    <phoneticPr fontId="1"/>
  </si>
  <si>
    <t>Oval 22</t>
    <phoneticPr fontId="1"/>
  </si>
  <si>
    <t>Oval 23</t>
    <phoneticPr fontId="1"/>
  </si>
  <si>
    <t>Oval 24</t>
    <phoneticPr fontId="1"/>
  </si>
  <si>
    <t>Oval 25</t>
    <phoneticPr fontId="1"/>
  </si>
  <si>
    <t>Oval 26</t>
    <phoneticPr fontId="1"/>
  </si>
  <si>
    <t>Oval 27</t>
    <phoneticPr fontId="1"/>
  </si>
  <si>
    <t>Oval 28</t>
    <phoneticPr fontId="1"/>
  </si>
  <si>
    <t>Oval 29</t>
    <phoneticPr fontId="1"/>
  </si>
  <si>
    <t>Oval 30</t>
    <phoneticPr fontId="1"/>
  </si>
  <si>
    <t>Oval 1023</t>
    <phoneticPr fontId="1"/>
  </si>
  <si>
    <t>Oval 1024</t>
    <phoneticPr fontId="1"/>
  </si>
  <si>
    <t>Oval 1025</t>
    <phoneticPr fontId="1"/>
  </si>
  <si>
    <t>Status</t>
    <phoneticPr fontId="1"/>
  </si>
  <si>
    <t>Please Carefully Change Values</t>
    <phoneticPr fontId="1"/>
  </si>
  <si>
    <t>True/False</t>
    <phoneticPr fontId="1"/>
  </si>
  <si>
    <t>Configuration</t>
    <phoneticPr fontId="1"/>
  </si>
  <si>
    <t>説明</t>
    <rPh sb="0" eb="2">
      <t>セツメイ</t>
    </rPh>
    <phoneticPr fontId="1"/>
  </si>
  <si>
    <t>プロジェクト開始後に誤ったマクロ操作によって作成済みスケジュールを壊さないためのロック機能です。
Trueが指定されていると特定のマクロは使用できません。
マクロの使用方法とリスクを熟知しており、スケジュールの修正や作り直しが必要な場合にはFalseを指定してください。</t>
    <rPh sb="6" eb="8">
      <t>カイシ</t>
    </rPh>
    <rPh sb="8" eb="9">
      <t>ゴ</t>
    </rPh>
    <rPh sb="10" eb="11">
      <t>アヤマ</t>
    </rPh>
    <rPh sb="16" eb="18">
      <t>ソウサ</t>
    </rPh>
    <rPh sb="22" eb="24">
      <t>サクセイ</t>
    </rPh>
    <rPh sb="24" eb="25">
      <t>ズ</t>
    </rPh>
    <rPh sb="33" eb="34">
      <t>コワ</t>
    </rPh>
    <rPh sb="43" eb="45">
      <t>キノウ</t>
    </rPh>
    <rPh sb="54" eb="56">
      <t>シテイ</t>
    </rPh>
    <rPh sb="62" eb="64">
      <t>トクテイ</t>
    </rPh>
    <rPh sb="69" eb="71">
      <t>シヨウ</t>
    </rPh>
    <rPh sb="83" eb="85">
      <t>シヨウ</t>
    </rPh>
    <rPh sb="85" eb="87">
      <t>ホウホウ</t>
    </rPh>
    <rPh sb="92" eb="94">
      <t>ジュクチ</t>
    </rPh>
    <rPh sb="106" eb="108">
      <t>シュウセイ</t>
    </rPh>
    <rPh sb="109" eb="110">
      <t>ツク</t>
    </rPh>
    <rPh sb="111" eb="112">
      <t>ナオ</t>
    </rPh>
    <rPh sb="114" eb="116">
      <t>ヒツヨウ</t>
    </rPh>
    <rPh sb="117" eb="119">
      <t>バアイ</t>
    </rPh>
    <rPh sb="127" eb="129">
      <t>シテイ</t>
    </rPh>
    <phoneticPr fontId="1"/>
  </si>
  <si>
    <t>Would you like to lock design macros?
デザインマクロをロックしますか？</t>
    <phoneticPr fontId="1"/>
  </si>
  <si>
    <t>START</t>
    <phoneticPr fontId="1"/>
  </si>
  <si>
    <t>Drawシートでタスクをプロットして配置する</t>
    <phoneticPr fontId="1"/>
  </si>
  <si>
    <t>思いつくままにScheduleシートにタスクを追加</t>
    <phoneticPr fontId="1"/>
  </si>
  <si>
    <t>タスク同士をコネクトする</t>
    <phoneticPr fontId="1"/>
  </si>
  <si>
    <t>1,2</t>
  </si>
  <si>
    <t>AAA</t>
    <phoneticPr fontId="1"/>
  </si>
  <si>
    <t>ENDaa</t>
    <phoneticPr fontId="1"/>
  </si>
  <si>
    <t>3,4</t>
  </si>
  <si>
    <t>xx</t>
    <phoneticPr fontId="1"/>
  </si>
  <si>
    <t>5,6,7</t>
  </si>
  <si>
    <t>c</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</si>
</sst>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aaa\)"/>
  </numFmts>
  <fonts count="9" x14ac:knownFonts="1">
    <font>
      <sz val="11"/>
      <color theme="1"/>
      <name val="ＭＳ Ｐゴシック"/>
      <family val="2"/>
      <charset val="128"/>
      <scheme val="minor"/>
    </font>
    <font>
      <sz val="6"/>
      <name val="ＭＳ Ｐゴシック"/>
      <family val="2"/>
      <charset val="128"/>
      <scheme val="minor"/>
    </font>
    <font>
      <sz val="36"/>
      <color theme="0"/>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sz val="11"/>
      <color rgb="FF000000"/>
      <name val="Meiryo UI"/>
      <family val="3"/>
      <charset val="128"/>
    </font>
    <font>
      <b/>
      <sz val="11"/>
      <color theme="0"/>
      <name val="ＭＳ Ｐゴシック"/>
      <family val="3"/>
      <charset val="128"/>
      <scheme val="minor"/>
    </font>
    <font>
      <sz val="11"/>
      <color rgb="FFFF0000"/>
      <name val="ＭＳ Ｐゴシック"/>
      <family val="2"/>
      <charset val="128"/>
      <scheme val="minor"/>
    </font>
    <font>
      <b/>
      <sz val="16"/>
      <color rgb="FFFF0000"/>
      <name val="ＭＳ Ｐゴシック"/>
      <family val="3"/>
      <charset val="128"/>
      <scheme val="minor"/>
    </font>
  </fonts>
  <fills count="5">
    <fill>
      <patternFill patternType="none"/>
    </fill>
    <fill>
      <patternFill patternType="gray125"/>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s>
  <borders count="4">
    <border>
      <left/>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s>
  <cellStyleXfs count="1">
    <xf numFmtId="0" fontId="0" fillId="0" borderId="0">
      <alignment vertical="center"/>
    </xf>
  </cellStyleXfs>
  <cellXfs count="19">
    <xf numFmtId="0" fontId="0" fillId="0" borderId="0" xfId="0">
      <alignment vertical="center"/>
    </xf>
    <xf numFmtId="0" fontId="4" fillId="0" borderId="0" xfId="0" applyFont="1">
      <alignment vertical="center"/>
    </xf>
    <xf numFmtId="0" fontId="0" fillId="2" borderId="0" xfId="0" applyFill="1">
      <alignment vertical="center"/>
    </xf>
    <xf numFmtId="0" fontId="0" fillId="2" borderId="1" xfId="0" applyFill="1" applyBorder="1">
      <alignment vertical="center"/>
    </xf>
    <xf numFmtId="0" fontId="6" fillId="2" borderId="1" xfId="0" applyFont="1" applyFill="1" applyBorder="1" applyAlignment="1">
      <alignment horizontal="center" vertical="center"/>
    </xf>
    <xf numFmtId="14" fontId="0" fillId="0" borderId="0" xfId="0" applyNumberFormat="1">
      <alignment vertical="center"/>
    </xf>
    <xf numFmtId="0" fontId="2" fillId="3" borderId="0" xfId="0" applyFont="1" applyFill="1">
      <alignment vertical="center"/>
    </xf>
    <xf numFmtId="0" fontId="3" fillId="3" borderId="0" xfId="0" applyFont="1" applyFill="1">
      <alignment vertical="center"/>
    </xf>
    <xf numFmtId="0" fontId="0" fillId="0" borderId="0" xfId="0" applyAlignment="1">
      <alignment horizontal="right" vertical="center"/>
    </xf>
    <xf numFmtId="0" fontId="0" fillId="0" borderId="0" xfId="0" applyNumberFormat="1">
      <alignment vertical="center"/>
    </xf>
    <xf numFmtId="176" fontId="0" fillId="0" borderId="0" xfId="0" applyNumberFormat="1">
      <alignment vertical="center"/>
    </xf>
    <xf numFmtId="0" fontId="0" fillId="4" borderId="0" xfId="0" applyFill="1">
      <alignment vertical="center"/>
    </xf>
    <xf numFmtId="0" fontId="7" fillId="0" borderId="0" xfId="0" applyFont="1">
      <alignment vertical="center"/>
    </xf>
    <xf numFmtId="0" fontId="0" fillId="2" borderId="2" xfId="0" applyFill="1" applyBorder="1">
      <alignment vertical="center"/>
    </xf>
    <xf numFmtId="0" fontId="0" fillId="2" borderId="3" xfId="0" applyFill="1" applyBorder="1">
      <alignment vertical="center"/>
    </xf>
    <xf numFmtId="0" fontId="0" fillId="0" borderId="0" xfId="0" applyAlignment="1">
      <alignment vertical="center" wrapText="1"/>
    </xf>
    <xf numFmtId="0" fontId="8" fillId="0" borderId="0" xfId="0" applyFont="1">
      <alignment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9999"/>
      <color rgb="FFFFCCCC"/>
      <color rgb="FF66FF66"/>
      <color rgb="FFC0C0C0"/>
      <color rgb="FFDDDDDD"/>
      <color rgb="FFEAEAEA"/>
      <color rgb="FF7CDA8E"/>
      <color rgb="FFC4F4C6"/>
      <color rgb="FFA1E884"/>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676376"/>
        <c:axId val="467674416"/>
      </c:barChart>
      <c:catAx>
        <c:axId val="467676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74416"/>
        <c:crosses val="autoZero"/>
        <c:auto val="1"/>
        <c:lblAlgn val="ctr"/>
        <c:lblOffset val="100"/>
        <c:noMultiLvlLbl val="0"/>
      </c:catAx>
      <c:valAx>
        <c:axId val="467674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7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674808"/>
        <c:axId val="467676768"/>
      </c:barChart>
      <c:catAx>
        <c:axId val="467674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76768"/>
        <c:crosses val="autoZero"/>
        <c:auto val="1"/>
        <c:lblAlgn val="ctr"/>
        <c:lblOffset val="100"/>
        <c:noMultiLvlLbl val="0"/>
      </c:catAx>
      <c:valAx>
        <c:axId val="467676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74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678728"/>
        <c:axId val="467682256"/>
      </c:barChart>
      <c:catAx>
        <c:axId val="467678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82256"/>
        <c:crosses val="autoZero"/>
        <c:auto val="1"/>
        <c:lblAlgn val="ctr"/>
        <c:lblOffset val="100"/>
        <c:noMultiLvlLbl val="0"/>
      </c:catAx>
      <c:valAx>
        <c:axId val="4676822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78728"/>
        <c:crosses val="autoZero"/>
        <c:crossBetween val="between"/>
      </c:valAx>
      <c:spPr>
        <a:noFill/>
        <a:ln>
          <a:noFill/>
        </a:ln>
        <a:effectLst/>
      </c:spPr>
    </c:plotArea>
    <c:plotVisOnly val="1"/>
    <c:dispBlanksAs val="gap"/>
    <c:showDLblsOverMax val="0"/>
  </c:chart>
  <c:spPr>
    <a:solidFill>
      <a:srgbClr val="FFCCCC"/>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114300</xdr:rowOff>
        </xdr:from>
        <xdr:to>
          <xdr:col>3</xdr:col>
          <xdr:colOff>866775</xdr:colOff>
          <xdr:row>0</xdr:row>
          <xdr:rowOff>476250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0</xdr:row>
          <xdr:rowOff>114300</xdr:rowOff>
        </xdr:from>
        <xdr:to>
          <xdr:col>6</xdr:col>
          <xdr:colOff>733425</xdr:colOff>
          <xdr:row>0</xdr:row>
          <xdr:rowOff>476250</xdr:rowOff>
        </xdr:to>
        <xdr:sp macro="" textlink="">
          <xdr:nvSpPr>
            <xdr:cNvPr id="2050" name="Btn_FillDefault"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Fill Default Duration and Start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171450</xdr:colOff>
          <xdr:row>1</xdr:row>
          <xdr:rowOff>76200</xdr:rowOff>
        </xdr:from>
        <xdr:to>
          <xdr:col>4</xdr:col>
          <xdr:colOff>1600200</xdr:colOff>
          <xdr:row>4</xdr:row>
          <xdr:rowOff>114300</xdr:rowOff>
        </xdr:to>
        <xdr:sp macro="" textlink="">
          <xdr:nvSpPr>
            <xdr:cNvPr id="1027" name="Btn_RemoveAllShapse"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All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1733550</xdr:colOff>
          <xdr:row>4</xdr:row>
          <xdr:rowOff>123825</xdr:rowOff>
        </xdr:to>
        <xdr:sp macro="" textlink="">
          <xdr:nvSpPr>
            <xdr:cNvPr id="1028" name="Btn_PlotTask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66675</xdr:rowOff>
        </xdr:from>
        <xdr:to>
          <xdr:col>1</xdr:col>
          <xdr:colOff>1600200</xdr:colOff>
          <xdr:row>4</xdr:row>
          <xdr:rowOff>104775</xdr:rowOff>
        </xdr:to>
        <xdr:sp macro="" textlink="">
          <xdr:nvSpPr>
            <xdr:cNvPr id="1029" name="Btn_OrderNodeVertical"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Order Node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1</xdr:row>
          <xdr:rowOff>66675</xdr:rowOff>
        </xdr:from>
        <xdr:to>
          <xdr:col>2</xdr:col>
          <xdr:colOff>3333750</xdr:colOff>
          <xdr:row>4</xdr:row>
          <xdr:rowOff>104775</xdr:rowOff>
        </xdr:to>
        <xdr:sp macro="" textlink="">
          <xdr:nvSpPr>
            <xdr:cNvPr id="1030" name="Btn_FindDisconnection"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Find Disconnection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xdr:row>
          <xdr:rowOff>66675</xdr:rowOff>
        </xdr:from>
        <xdr:to>
          <xdr:col>2</xdr:col>
          <xdr:colOff>1647825</xdr:colOff>
          <xdr:row>4</xdr:row>
          <xdr:rowOff>104775</xdr:rowOff>
        </xdr:to>
        <xdr:sp macro="" textlink="">
          <xdr:nvSpPr>
            <xdr:cNvPr id="1031" name="Btn_ConnectStreight"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Straight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5</xdr:row>
          <xdr:rowOff>47625</xdr:rowOff>
        </xdr:from>
        <xdr:to>
          <xdr:col>2</xdr:col>
          <xdr:colOff>1647825</xdr:colOff>
          <xdr:row>8</xdr:row>
          <xdr:rowOff>85725</xdr:rowOff>
        </xdr:to>
        <xdr:sp macro="" textlink="">
          <xdr:nvSpPr>
            <xdr:cNvPr id="1032" name="Btn_ConnectSplit"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5</xdr:row>
          <xdr:rowOff>47625</xdr:rowOff>
        </xdr:from>
        <xdr:to>
          <xdr:col>2</xdr:col>
          <xdr:colOff>3333750</xdr:colOff>
          <xdr:row>8</xdr:row>
          <xdr:rowOff>85725</xdr:rowOff>
        </xdr:to>
        <xdr:sp macro="" textlink="">
          <xdr:nvSpPr>
            <xdr:cNvPr id="1033" name="Btn_ConnectMarge"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Marge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5</xdr:row>
          <xdr:rowOff>47625</xdr:rowOff>
        </xdr:from>
        <xdr:to>
          <xdr:col>1</xdr:col>
          <xdr:colOff>1600200</xdr:colOff>
          <xdr:row>8</xdr:row>
          <xdr:rowOff>85725</xdr:rowOff>
        </xdr:to>
        <xdr:sp macro="" textlink="">
          <xdr:nvSpPr>
            <xdr:cNvPr id="1034" name="Btn_SwapNodeLocatio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Swap Node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5</xdr:row>
          <xdr:rowOff>57150</xdr:rowOff>
        </xdr:from>
        <xdr:to>
          <xdr:col>4</xdr:col>
          <xdr:colOff>1600200</xdr:colOff>
          <xdr:row>8</xdr:row>
          <xdr:rowOff>95250</xdr:rowOff>
        </xdr:to>
        <xdr:sp macro="" textlink="">
          <xdr:nvSpPr>
            <xdr:cNvPr id="1035" name="Btn_RemoveConnections"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Connections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1</xdr:row>
          <xdr:rowOff>85725</xdr:rowOff>
        </xdr:from>
        <xdr:to>
          <xdr:col>3</xdr:col>
          <xdr:colOff>1609725</xdr:colOff>
          <xdr:row>4</xdr:row>
          <xdr:rowOff>114300</xdr:rowOff>
        </xdr:to>
        <xdr:sp macro="" textlink="">
          <xdr:nvSpPr>
            <xdr:cNvPr id="1036" name="Btn_NumberingNodes"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Number Nodes as Selection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5</xdr:row>
          <xdr:rowOff>57150</xdr:rowOff>
        </xdr:from>
        <xdr:to>
          <xdr:col>3</xdr:col>
          <xdr:colOff>1609725</xdr:colOff>
          <xdr:row>8</xdr:row>
          <xdr:rowOff>95250</xdr:rowOff>
        </xdr:to>
        <xdr:sp macro="" textlink="">
          <xdr:nvSpPr>
            <xdr:cNvPr id="1037" name="Btn_DeNumberingAllNodes"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Unnumber All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66675</xdr:rowOff>
        </xdr:from>
        <xdr:to>
          <xdr:col>5</xdr:col>
          <xdr:colOff>1619250</xdr:colOff>
          <xdr:row>4</xdr:row>
          <xdr:rowOff>104775</xdr:rowOff>
        </xdr:to>
        <xdr:sp macro="" textlink="">
          <xdr:nvSpPr>
            <xdr:cNvPr id="1041" name="Btn_SetCompletedIcon"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5</xdr:row>
          <xdr:rowOff>66675</xdr:rowOff>
        </xdr:from>
        <xdr:to>
          <xdr:col>5</xdr:col>
          <xdr:colOff>1600200</xdr:colOff>
          <xdr:row>8</xdr:row>
          <xdr:rowOff>104775</xdr:rowOff>
        </xdr:to>
        <xdr:sp macro="" textlink="">
          <xdr:nvSpPr>
            <xdr:cNvPr id="1042" name="Btn_SetCancelledIcon"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Cancelled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5</xdr:row>
          <xdr:rowOff>66675</xdr:rowOff>
        </xdr:from>
        <xdr:to>
          <xdr:col>6</xdr:col>
          <xdr:colOff>1514475</xdr:colOff>
          <xdr:row>8</xdr:row>
          <xdr:rowOff>104775</xdr:rowOff>
        </xdr:to>
        <xdr:sp macro="" textlink="">
          <xdr:nvSpPr>
            <xdr:cNvPr id="1043" name="Btn_ClearIcon"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Clear Icon</a:t>
              </a:r>
            </a:p>
          </xdr:txBody>
        </xdr:sp>
        <xdr:clientData fPrintsWithSheet="0"/>
      </xdr:twoCellAnchor>
    </mc:Choice>
    <mc:Fallback/>
  </mc:AlternateContent>
  <xdr:twoCellAnchor>
    <xdr:from>
      <xdr:col>1</xdr:col>
      <xdr:colOff>1758950</xdr:colOff>
      <xdr:row>27</xdr:row>
      <xdr:rowOff>6350</xdr:rowOff>
    </xdr:from>
    <xdr:to>
      <xdr:col>2</xdr:col>
      <xdr:colOff>701675</xdr:colOff>
      <xdr:row>31</xdr:row>
      <xdr:rowOff>82550</xdr:rowOff>
    </xdr:to>
    <xdr:sp macro="" textlink="">
      <xdr:nvSpPr>
        <xdr:cNvPr id="26" name="円/楕円 25"/>
        <xdr:cNvSpPr/>
      </xdr:nvSpPr>
      <xdr:spPr>
        <a:xfrm>
          <a:off x="3692525" y="460692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ja-JP" altLang="en-US" sz="1100">
              <a:solidFill>
                <a:srgbClr val="000000"/>
              </a:solidFill>
            </a:rPr>
            <a:t>タスク同士</a:t>
          </a:r>
        </a:p>
        <a:p>
          <a:pPr algn="ctr"/>
          <a:r>
            <a:rPr kumimoji="1" lang="ja-JP" altLang="en-US" sz="1100">
              <a:solidFill>
                <a:srgbClr val="000000"/>
              </a:solidFill>
            </a:rPr>
            <a:t>をコネクト</a:t>
          </a:r>
        </a:p>
        <a:p>
          <a:pPr algn="ctr"/>
          <a:r>
            <a:rPr kumimoji="1" lang="ja-JP" altLang="en-US" sz="1100">
              <a:solidFill>
                <a:srgbClr val="000000"/>
              </a:solidFill>
            </a:rPr>
            <a:t>する</a:t>
          </a:r>
        </a:p>
      </xdr:txBody>
    </xdr:sp>
    <xdr:clientData/>
  </xdr:twoCellAnchor>
  <mc:AlternateContent xmlns:mc="http://schemas.openxmlformats.org/markup-compatibility/2006">
    <mc:Choice xmlns:a14="http://schemas.microsoft.com/office/drawing/2010/main" Requires="a14">
      <xdr:twoCellAnchor editAs="absolute">
        <xdr:from>
          <xdr:col>6</xdr:col>
          <xdr:colOff>85725</xdr:colOff>
          <xdr:row>1</xdr:row>
          <xdr:rowOff>66675</xdr:rowOff>
        </xdr:from>
        <xdr:to>
          <xdr:col>6</xdr:col>
          <xdr:colOff>1514475</xdr:colOff>
          <xdr:row>4</xdr:row>
          <xdr:rowOff>104775</xdr:rowOff>
        </xdr:to>
        <xdr:sp macro="" textlink="">
          <xdr:nvSpPr>
            <xdr:cNvPr id="1044" name="Btn_SetInProgressIcon"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Set Progress</a:t>
              </a:r>
            </a:p>
          </xdr:txBody>
        </xdr:sp>
        <xdr:clientData fPrintsWithSheet="0"/>
      </xdr:twoCellAnchor>
    </mc:Choice>
    <mc:Fallback/>
  </mc:AlternateContent>
  <xdr:twoCellAnchor>
    <xdr:from>
      <xdr:col>1</xdr:col>
      <xdr:colOff>1235075</xdr:colOff>
      <xdr:row>13</xdr:row>
      <xdr:rowOff>66675</xdr:rowOff>
    </xdr:from>
    <xdr:to>
      <xdr:col>2</xdr:col>
      <xdr:colOff>177800</xdr:colOff>
      <xdr:row>17</xdr:row>
      <xdr:rowOff>142875</xdr:rowOff>
    </xdr:to>
    <xdr:sp macro="" textlink="">
      <xdr:nvSpPr>
        <xdr:cNvPr id="28" name="円/楕円 27"/>
        <xdr:cNvSpPr/>
      </xdr:nvSpPr>
      <xdr:spPr>
        <a:xfrm>
          <a:off x="3168650" y="2266950"/>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Sched</a:t>
          </a:r>
        </a:p>
        <a:p>
          <a:pPr algn="ctr"/>
          <a:r>
            <a:rPr kumimoji="1" lang="arn-CL" altLang="ja-JP" sz="1100">
              <a:solidFill>
                <a:srgbClr val="000000"/>
              </a:solidFill>
            </a:rPr>
            <a:t>ule</a:t>
          </a:r>
          <a:r>
            <a:rPr kumimoji="1" lang="ja-JP" altLang="en-US" sz="1100">
              <a:solidFill>
                <a:srgbClr val="000000"/>
              </a:solidFill>
            </a:rPr>
            <a:t>シー</a:t>
          </a:r>
        </a:p>
        <a:p>
          <a:pPr algn="ctr"/>
          <a:r>
            <a:rPr kumimoji="1" lang="ja-JP" altLang="en-US" sz="1100">
              <a:solidFill>
                <a:srgbClr val="000000"/>
              </a:solidFill>
            </a:rPr>
            <a:t>トにスケジ</a:t>
          </a:r>
        </a:p>
        <a:p>
          <a:pPr algn="ctr"/>
          <a:r>
            <a:rPr kumimoji="1" lang="ja-JP" altLang="en-US" sz="1100">
              <a:solidFill>
                <a:srgbClr val="000000"/>
              </a:solidFill>
            </a:rPr>
            <a:t>ュールをプ</a:t>
          </a:r>
        </a:p>
        <a:p>
          <a:pPr algn="ctr"/>
          <a:r>
            <a:rPr kumimoji="1" lang="ja-JP" altLang="en-US" sz="1100">
              <a:solidFill>
                <a:srgbClr val="000000"/>
              </a:solidFill>
            </a:rPr>
            <a:t>ロット</a:t>
          </a:r>
        </a:p>
      </xdr:txBody>
    </xdr:sp>
    <xdr:clientData/>
  </xdr:twoCellAnchor>
  <xdr:twoCellAnchor>
    <xdr:from>
      <xdr:col>1</xdr:col>
      <xdr:colOff>774700</xdr:colOff>
      <xdr:row>20</xdr:row>
      <xdr:rowOff>79375</xdr:rowOff>
    </xdr:from>
    <xdr:to>
      <xdr:col>1</xdr:col>
      <xdr:colOff>1536700</xdr:colOff>
      <xdr:row>24</xdr:row>
      <xdr:rowOff>155575</xdr:rowOff>
    </xdr:to>
    <xdr:sp macro="" textlink="">
      <xdr:nvSpPr>
        <xdr:cNvPr id="30" name="円/楕円 29"/>
        <xdr:cNvSpPr/>
      </xdr:nvSpPr>
      <xdr:spPr>
        <a:xfrm>
          <a:off x="2708275" y="3479800"/>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ENDaa</a:t>
          </a:r>
          <a:endParaRPr kumimoji="1" lang="ja-JP" altLang="en-US" sz="1100">
            <a:solidFill>
              <a:srgbClr val="000000"/>
            </a:solidFill>
          </a:endParaRPr>
        </a:p>
      </xdr:txBody>
    </xdr:sp>
    <xdr:clientData/>
  </xdr:twoCellAnchor>
  <xdr:twoCellAnchor>
    <xdr:from>
      <xdr:col>1</xdr:col>
      <xdr:colOff>139700</xdr:colOff>
      <xdr:row>41</xdr:row>
      <xdr:rowOff>152400</xdr:rowOff>
    </xdr:from>
    <xdr:to>
      <xdr:col>1</xdr:col>
      <xdr:colOff>901700</xdr:colOff>
      <xdr:row>46</xdr:row>
      <xdr:rowOff>57150</xdr:rowOff>
    </xdr:to>
    <xdr:sp macro="" textlink="">
      <xdr:nvSpPr>
        <xdr:cNvPr id="27" name="円/楕円 26"/>
        <xdr:cNvSpPr/>
      </xdr:nvSpPr>
      <xdr:spPr>
        <a:xfrm>
          <a:off x="2073275" y="71532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ja-JP" altLang="en-US" sz="1100">
              <a:solidFill>
                <a:srgbClr val="000000"/>
              </a:solidFill>
            </a:rPr>
            <a:t>タスクのナ</a:t>
          </a:r>
        </a:p>
        <a:p>
          <a:pPr algn="ctr"/>
          <a:r>
            <a:rPr kumimoji="1" lang="ja-JP" altLang="en-US" sz="1100">
              <a:solidFill>
                <a:srgbClr val="000000"/>
              </a:solidFill>
            </a:rPr>
            <a:t>ンバリング</a:t>
          </a:r>
        </a:p>
      </xdr:txBody>
    </xdr:sp>
    <xdr:clientData/>
  </xdr:twoCellAnchor>
  <xdr:twoCellAnchor>
    <xdr:from>
      <xdr:col>1</xdr:col>
      <xdr:colOff>139700</xdr:colOff>
      <xdr:row>30</xdr:row>
      <xdr:rowOff>6350</xdr:rowOff>
    </xdr:from>
    <xdr:to>
      <xdr:col>1</xdr:col>
      <xdr:colOff>901700</xdr:colOff>
      <xdr:row>34</xdr:row>
      <xdr:rowOff>82550</xdr:rowOff>
    </xdr:to>
    <xdr:sp macro="" textlink="">
      <xdr:nvSpPr>
        <xdr:cNvPr id="25" name="円/楕円 24"/>
        <xdr:cNvSpPr/>
      </xdr:nvSpPr>
      <xdr:spPr>
        <a:xfrm>
          <a:off x="2073275" y="5121275"/>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ja-JP" altLang="en-US" sz="1100">
              <a:solidFill>
                <a:srgbClr val="000000"/>
              </a:solidFill>
            </a:rPr>
            <a:t>思いつくま</a:t>
          </a:r>
        </a:p>
        <a:p>
          <a:pPr algn="ctr"/>
          <a:r>
            <a:rPr kumimoji="1" lang="ja-JP" altLang="en-US" sz="1100">
              <a:solidFill>
                <a:srgbClr val="000000"/>
              </a:solidFill>
            </a:rPr>
            <a:t>まに</a:t>
          </a:r>
          <a:r>
            <a:rPr kumimoji="1" lang="en-US" altLang="ja-JP" sz="1100">
              <a:solidFill>
                <a:srgbClr val="000000"/>
              </a:solidFill>
            </a:rPr>
            <a:t>Sch</a:t>
          </a:r>
        </a:p>
        <a:p>
          <a:pPr algn="ctr"/>
          <a:r>
            <a:rPr kumimoji="1" lang="en-US" altLang="ja-JP" sz="1100">
              <a:solidFill>
                <a:srgbClr val="000000"/>
              </a:solidFill>
            </a:rPr>
            <a:t>edule</a:t>
          </a:r>
        </a:p>
        <a:p>
          <a:pPr algn="ctr"/>
          <a:r>
            <a:rPr kumimoji="1" lang="ja-JP" altLang="en-US" sz="1100">
              <a:solidFill>
                <a:srgbClr val="000000"/>
              </a:solidFill>
            </a:rPr>
            <a:t>シートにタ</a:t>
          </a:r>
        </a:p>
        <a:p>
          <a:pPr algn="ctr"/>
          <a:r>
            <a:rPr kumimoji="1" lang="ja-JP" altLang="en-US" sz="1100">
              <a:solidFill>
                <a:srgbClr val="000000"/>
              </a:solidFill>
            </a:rPr>
            <a:t>スクを追加</a:t>
          </a:r>
        </a:p>
      </xdr:txBody>
    </xdr:sp>
    <xdr:clientData/>
  </xdr:twoCellAnchor>
  <xdr:twoCellAnchor>
    <xdr:from>
      <xdr:col>1</xdr:col>
      <xdr:colOff>139700</xdr:colOff>
      <xdr:row>35</xdr:row>
      <xdr:rowOff>165100</xdr:rowOff>
    </xdr:from>
    <xdr:to>
      <xdr:col>1</xdr:col>
      <xdr:colOff>901700</xdr:colOff>
      <xdr:row>40</xdr:row>
      <xdr:rowOff>69850</xdr:rowOff>
    </xdr:to>
    <xdr:sp macro="" textlink="">
      <xdr:nvSpPr>
        <xdr:cNvPr id="24" name="円/楕円 23"/>
        <xdr:cNvSpPr/>
      </xdr:nvSpPr>
      <xdr:spPr>
        <a:xfrm>
          <a:off x="2073275" y="6137275"/>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Draw</a:t>
          </a:r>
          <a:r>
            <a:rPr kumimoji="1" lang="ja-JP" altLang="en-US" sz="1100">
              <a:solidFill>
                <a:srgbClr val="000000"/>
              </a:solidFill>
            </a:rPr>
            <a:t>シ</a:t>
          </a:r>
        </a:p>
        <a:p>
          <a:pPr algn="ctr"/>
          <a:r>
            <a:rPr kumimoji="1" lang="ja-JP" altLang="en-US" sz="1100">
              <a:solidFill>
                <a:srgbClr val="000000"/>
              </a:solidFill>
            </a:rPr>
            <a:t>ートでタス</a:t>
          </a:r>
        </a:p>
        <a:p>
          <a:pPr algn="ctr"/>
          <a:r>
            <a:rPr kumimoji="1" lang="ja-JP" altLang="en-US" sz="1100">
              <a:solidFill>
                <a:srgbClr val="000000"/>
              </a:solidFill>
            </a:rPr>
            <a:t>クをプロッ</a:t>
          </a:r>
        </a:p>
        <a:p>
          <a:pPr algn="ctr"/>
          <a:r>
            <a:rPr kumimoji="1" lang="ja-JP" altLang="en-US" sz="1100">
              <a:solidFill>
                <a:srgbClr val="000000"/>
              </a:solidFill>
            </a:rPr>
            <a:t>トして配置</a:t>
          </a:r>
        </a:p>
        <a:p>
          <a:pPr algn="ctr"/>
          <a:r>
            <a:rPr kumimoji="1" lang="ja-JP" altLang="en-US" sz="1100">
              <a:solidFill>
                <a:srgbClr val="000000"/>
              </a:solidFill>
            </a:rPr>
            <a:t>する</a:t>
          </a:r>
        </a:p>
      </xdr:txBody>
    </xdr:sp>
    <xdr:clientData/>
  </xdr:twoCellAnchor>
  <xdr:twoCellAnchor>
    <xdr:from>
      <xdr:col>0</xdr:col>
      <xdr:colOff>425450</xdr:colOff>
      <xdr:row>28</xdr:row>
      <xdr:rowOff>139700</xdr:rowOff>
    </xdr:from>
    <xdr:to>
      <xdr:col>0</xdr:col>
      <xdr:colOff>1187450</xdr:colOff>
      <xdr:row>33</xdr:row>
      <xdr:rowOff>44450</xdr:rowOff>
    </xdr:to>
    <xdr:sp macro="" textlink="">
      <xdr:nvSpPr>
        <xdr:cNvPr id="31" name="円/楕円 30"/>
        <xdr:cNvSpPr/>
      </xdr:nvSpPr>
      <xdr:spPr>
        <a:xfrm>
          <a:off x="425450" y="49117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xx</a:t>
          </a:r>
          <a:endParaRPr kumimoji="1" lang="ja-JP" altLang="en-US" sz="1100">
            <a:solidFill>
              <a:srgbClr val="000000"/>
            </a:solidFill>
          </a:endParaRPr>
        </a:p>
      </xdr:txBody>
    </xdr:sp>
    <xdr:clientData/>
  </xdr:twoCellAnchor>
  <xdr:twoCellAnchor>
    <xdr:from>
      <xdr:col>0</xdr:col>
      <xdr:colOff>463550</xdr:colOff>
      <xdr:row>22</xdr:row>
      <xdr:rowOff>152400</xdr:rowOff>
    </xdr:from>
    <xdr:to>
      <xdr:col>0</xdr:col>
      <xdr:colOff>1225550</xdr:colOff>
      <xdr:row>27</xdr:row>
      <xdr:rowOff>57150</xdr:rowOff>
    </xdr:to>
    <xdr:sp macro="" textlink="">
      <xdr:nvSpPr>
        <xdr:cNvPr id="1025" name="円/楕円 1024"/>
        <xdr:cNvSpPr/>
      </xdr:nvSpPr>
      <xdr:spPr>
        <a:xfrm>
          <a:off x="463550" y="38957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ddd</a:t>
          </a:r>
          <a:endParaRPr kumimoji="1" lang="ja-JP" altLang="en-US" sz="1100">
            <a:solidFill>
              <a:srgbClr val="000000"/>
            </a:solidFill>
          </a:endParaRPr>
        </a:p>
      </xdr:txBody>
    </xdr:sp>
    <xdr:clientData/>
  </xdr:twoCellAnchor>
  <xdr:twoCellAnchor>
    <xdr:from>
      <xdr:col>0</xdr:col>
      <xdr:colOff>425450</xdr:colOff>
      <xdr:row>34</xdr:row>
      <xdr:rowOff>127000</xdr:rowOff>
    </xdr:from>
    <xdr:to>
      <xdr:col>0</xdr:col>
      <xdr:colOff>1187450</xdr:colOff>
      <xdr:row>39</xdr:row>
      <xdr:rowOff>31750</xdr:rowOff>
    </xdr:to>
    <xdr:sp macro="" textlink="">
      <xdr:nvSpPr>
        <xdr:cNvPr id="23" name="円/楕円 22"/>
        <xdr:cNvSpPr/>
      </xdr:nvSpPr>
      <xdr:spPr>
        <a:xfrm>
          <a:off x="425450" y="5927725"/>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START</a:t>
          </a:r>
          <a:endParaRPr kumimoji="1" lang="ja-JP" altLang="en-US" sz="1100">
            <a:solidFill>
              <a:srgbClr val="000000"/>
            </a:solidFill>
          </a:endParaRPr>
        </a:p>
      </xdr:txBody>
    </xdr:sp>
    <xdr:clientData/>
  </xdr:twoCellAnchor>
  <xdr:twoCellAnchor>
    <xdr:from>
      <xdr:col>0</xdr:col>
      <xdr:colOff>425450</xdr:colOff>
      <xdr:row>40</xdr:row>
      <xdr:rowOff>114300</xdr:rowOff>
    </xdr:from>
    <xdr:to>
      <xdr:col>0</xdr:col>
      <xdr:colOff>1187450</xdr:colOff>
      <xdr:row>45</xdr:row>
      <xdr:rowOff>19050</xdr:rowOff>
    </xdr:to>
    <xdr:sp macro="" textlink="">
      <xdr:nvSpPr>
        <xdr:cNvPr id="1026" name="円/楕円 1025"/>
        <xdr:cNvSpPr/>
      </xdr:nvSpPr>
      <xdr:spPr>
        <a:xfrm>
          <a:off x="425450" y="69437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END</a:t>
          </a:r>
          <a:endParaRPr kumimoji="1" lang="ja-JP" altLang="en-US" sz="1100">
            <a:solidFill>
              <a:srgbClr val="000000"/>
            </a:solidFill>
          </a:endParaRPr>
        </a:p>
      </xdr:txBody>
    </xdr:sp>
    <xdr:clientData/>
  </xdr:twoCellAnchor>
  <xdr:twoCellAnchor>
    <xdr:from>
      <xdr:col>0</xdr:col>
      <xdr:colOff>463550</xdr:colOff>
      <xdr:row>16</xdr:row>
      <xdr:rowOff>165100</xdr:rowOff>
    </xdr:from>
    <xdr:to>
      <xdr:col>0</xdr:col>
      <xdr:colOff>1225550</xdr:colOff>
      <xdr:row>21</xdr:row>
      <xdr:rowOff>69850</xdr:rowOff>
    </xdr:to>
    <xdr:sp macro="" textlink="">
      <xdr:nvSpPr>
        <xdr:cNvPr id="29" name="円/楕円 28"/>
        <xdr:cNvSpPr/>
      </xdr:nvSpPr>
      <xdr:spPr>
        <a:xfrm>
          <a:off x="463550" y="2879725"/>
          <a:ext cx="762000" cy="762000"/>
        </a:xfrm>
        <a:prstGeom prst="ellipse">
          <a:avLst/>
        </a:prstGeom>
        <a:blipFill>
          <a:blip xmlns:r="http://schemas.openxmlformats.org/officeDocument/2006/relationships" r:embed="rId3"/>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AAA</a:t>
          </a:r>
          <a:endParaRPr kumimoji="1" lang="ja-JP" altLang="en-US" sz="1100">
            <a:solidFill>
              <a:srgbClr val="000000"/>
            </a:solidFill>
          </a:endParaRPr>
        </a:p>
      </xdr:txBody>
    </xdr:sp>
    <xdr:clientData/>
  </xdr:twoCellAnchor>
  <xdr:twoCellAnchor>
    <xdr:from>
      <xdr:col>1</xdr:col>
      <xdr:colOff>139700</xdr:colOff>
      <xdr:row>12</xdr:row>
      <xdr:rowOff>44450</xdr:rowOff>
    </xdr:from>
    <xdr:to>
      <xdr:col>1</xdr:col>
      <xdr:colOff>901700</xdr:colOff>
      <xdr:row>16</xdr:row>
      <xdr:rowOff>120650</xdr:rowOff>
    </xdr:to>
    <xdr:sp macro="" textlink="">
      <xdr:nvSpPr>
        <xdr:cNvPr id="1024" name="円/楕円 1023"/>
        <xdr:cNvSpPr/>
      </xdr:nvSpPr>
      <xdr:spPr>
        <a:xfrm>
          <a:off x="2073275" y="20732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c</a:t>
          </a:r>
          <a:endParaRPr kumimoji="1" lang="ja-JP" altLang="en-US" sz="1100">
            <a:solidFill>
              <a:srgbClr val="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252411</xdr:colOff>
      <xdr:row>2</xdr:row>
      <xdr:rowOff>90484</xdr:rowOff>
    </xdr:from>
    <xdr:to>
      <xdr:col>5</xdr:col>
      <xdr:colOff>423411</xdr:colOff>
      <xdr:row>23</xdr:row>
      <xdr:rowOff>90034</xdr:rowOff>
    </xdr:to>
    <xdr:graphicFrame macro="">
      <xdr:nvGraphicFramePr>
        <xdr:cNvPr id="2" name="Complet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633411</xdr:colOff>
      <xdr:row>2</xdr:row>
      <xdr:rowOff>100009</xdr:rowOff>
    </xdr:from>
    <xdr:to>
      <xdr:col>11</xdr:col>
      <xdr:colOff>118611</xdr:colOff>
      <xdr:row>23</xdr:row>
      <xdr:rowOff>99559</xdr:rowOff>
    </xdr:to>
    <xdr:graphicFrame macro="">
      <xdr:nvGraphicFramePr>
        <xdr:cNvPr id="3" name="Cancell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328611</xdr:colOff>
      <xdr:row>2</xdr:row>
      <xdr:rowOff>106812</xdr:rowOff>
    </xdr:from>
    <xdr:to>
      <xdr:col>16</xdr:col>
      <xdr:colOff>499611</xdr:colOff>
      <xdr:row>23</xdr:row>
      <xdr:rowOff>106362</xdr:rowOff>
    </xdr:to>
    <xdr:graphicFrame macro="">
      <xdr:nvGraphicFramePr>
        <xdr:cNvPr id="4" name="InProgress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C4F4C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0.24285</cdr:x>
      <cdr:y>0.4249</cdr:y>
    </cdr:from>
    <cdr:to>
      <cdr:x>0.90717</cdr:x>
      <cdr:y>0.76706</cdr:y>
    </cdr:to>
    <cdr:grpSp>
      <cdr:nvGrpSpPr>
        <cdr:cNvPr id="6" name="グループ化 5"/>
        <cdr:cNvGrpSpPr/>
      </cdr:nvGrpSpPr>
      <cdr:grpSpPr>
        <a:xfrm xmlns:a="http://schemas.openxmlformats.org/drawingml/2006/main">
          <a:off x="871069" y="1523779"/>
          <a:ext cx="2382825" cy="1227055"/>
          <a:chOff x="854969" y="1762892"/>
          <a:chExt cx="2397705" cy="1235144"/>
        </a:xfrm>
        <a:solidFill xmlns:a="http://schemas.openxmlformats.org/drawingml/2006/main">
          <a:srgbClr val="7CDA8E"/>
        </a:solidFill>
      </cdr:grpSpPr>
      <cdr:sp macro="" textlink="">
        <cdr:nvSpPr>
          <cdr:cNvPr id="3" name="正方形/長方形 2"/>
          <cdr:cNvSpPr/>
        </cdr:nvSpPr>
        <cdr:spPr>
          <a:xfrm xmlns:a="http://schemas.openxmlformats.org/drawingml/2006/main" rot="2878365">
            <a:off x="517420" y="2191279"/>
            <a:ext cx="1144306" cy="469208"/>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sp macro="" textlink="">
        <cdr:nvSpPr>
          <cdr:cNvPr id="4" name="正方形/長方形 3"/>
          <cdr:cNvSpPr/>
        </cdr:nvSpPr>
        <cdr:spPr>
          <a:xfrm xmlns:a="http://schemas.openxmlformats.org/drawingml/2006/main" rot="8278365">
            <a:off x="937951" y="1762892"/>
            <a:ext cx="2314723" cy="461935"/>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grp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EAEAE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cdr:x>
      <cdr:y>0</cdr:y>
    </cdr:from>
    <cdr:to>
      <cdr:x>1</cdr:x>
      <cdr:y>1</cdr:y>
    </cdr:to>
    <cdr:sp macro="" textlink="">
      <cdr:nvSpPr>
        <cdr:cNvPr id="7" name="乗算記号 6"/>
        <cdr:cNvSpPr/>
      </cdr:nvSpPr>
      <cdr:spPr>
        <a:xfrm xmlns:a="http://schemas.openxmlformats.org/drawingml/2006/main">
          <a:off x="0" y="0"/>
          <a:ext cx="3584235" cy="3586205"/>
        </a:xfrm>
        <a:prstGeom xmlns:a="http://schemas.openxmlformats.org/drawingml/2006/main" prst="mathMultiply">
          <a:avLst>
            <a:gd name="adj1" fmla="val 11591"/>
          </a:avLst>
        </a:prstGeom>
        <a:solidFill xmlns:a="http://schemas.openxmlformats.org/drawingml/2006/main">
          <a:srgbClr val="C0C0C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drawings/drawing6.xml><?xml version="1.0" encoding="utf-8"?>
<c:userShapes xmlns:c="http://schemas.openxmlformats.org/drawingml/2006/chart">
  <cdr:relSizeAnchor xmlns:cdr="http://schemas.openxmlformats.org/drawingml/2006/chartDrawing">
    <cdr:from>
      <cdr:x>0.00164</cdr:x>
      <cdr:y>0.00164</cdr:y>
    </cdr:from>
    <cdr:to>
      <cdr:x>1</cdr:x>
      <cdr:y>1</cdr:y>
    </cdr:to>
    <cdr:sp macro="" textlink="">
      <cdr:nvSpPr>
        <cdr:cNvPr id="13" name="パイ 12"/>
        <cdr:cNvSpPr/>
      </cdr:nvSpPr>
      <cdr:spPr>
        <a:xfrm xmlns:a="http://schemas.openxmlformats.org/drawingml/2006/main">
          <a:off x="50800" y="50800"/>
          <a:ext cx="3594100" cy="3594100"/>
        </a:xfrm>
        <a:prstGeom xmlns:a="http://schemas.openxmlformats.org/drawingml/2006/main" prst="pie">
          <a:avLst>
            <a:gd name="adj1" fmla="val 16200000"/>
            <a:gd name="adj2" fmla="val 20520000"/>
          </a:avLst>
        </a:prstGeom>
        <a:solidFill xmlns:a="http://schemas.openxmlformats.org/drawingml/2006/main">
          <a:srgbClr val="FF9999"/>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Sheet"/>
  <dimension ref="A1:L25"/>
  <sheetViews>
    <sheetView workbookViewId="0"/>
  </sheetViews>
  <sheetFormatPr defaultRowHeight="13.5" x14ac:dyDescent="0.15"/>
  <cols>
    <col min="1" max="1" width="3.75" bestFit="1" customWidth="1"/>
    <col min="2" max="2" width="39.5" bestFit="1" customWidth="1"/>
    <col min="3" max="3" width="13.125" style="8" bestFit="1" customWidth="1"/>
    <col min="4" max="4" width="9.5" bestFit="1" customWidth="1"/>
    <col min="5" max="6" width="15.625" bestFit="1" customWidth="1"/>
    <col min="7" max="7" width="20.75" bestFit="1" customWidth="1"/>
    <col min="8" max="8" width="10.75" bestFit="1" customWidth="1"/>
    <col min="9" max="9" width="13.125" bestFit="1" customWidth="1"/>
    <col min="10" max="10" width="25.875" bestFit="1" customWidth="1"/>
    <col min="11" max="11" width="13.625" bestFit="1" customWidth="1"/>
    <col min="12" max="12" width="14.75" bestFit="1" customWidth="1"/>
  </cols>
  <sheetData>
    <row r="1" spans="1:12" s="7" customFormat="1" ht="42" x14ac:dyDescent="0.15">
      <c r="A1" s="6" t="s">
        <v>9</v>
      </c>
    </row>
    <row r="2" spans="1:12" x14ac:dyDescent="0.15">
      <c r="C2"/>
    </row>
    <row r="3" spans="1:12" x14ac:dyDescent="0.15">
      <c r="A3" s="1" t="s">
        <v>4</v>
      </c>
      <c r="B3" s="1" t="s">
        <v>5</v>
      </c>
      <c r="C3" s="1" t="s">
        <v>8</v>
      </c>
      <c r="D3" s="1" t="s">
        <v>10</v>
      </c>
      <c r="E3" s="1" t="s">
        <v>6</v>
      </c>
      <c r="F3" s="1" t="s">
        <v>7</v>
      </c>
      <c r="G3" s="1" t="s">
        <v>15</v>
      </c>
      <c r="H3" s="1" t="s">
        <v>12</v>
      </c>
      <c r="I3" s="1" t="s">
        <v>13</v>
      </c>
      <c r="J3" s="1" t="s">
        <v>14</v>
      </c>
    </row>
    <row r="4" spans="1:12" x14ac:dyDescent="0.15">
      <c r="B4" t="s">
        <v>40</v>
      </c>
      <c r="D4">
        <v>0</v>
      </c>
      <c r="E4" s="10">
        <v>44360</v>
      </c>
      <c r="F4" s="10">
        <f>IF(ISBLANK(J4),WORKDAY(E4,D4,Holidays!A:A),E4+7-WEEKDAY(E4+7-J4))</f>
        <v>44360</v>
      </c>
      <c r="G4" t="s">
        <v>21</v>
      </c>
      <c r="I4">
        <v>0</v>
      </c>
      <c r="J4" s="9"/>
      <c r="K4" s="10"/>
      <c r="L4" s="10"/>
    </row>
    <row r="5" spans="1:12" x14ac:dyDescent="0.15">
      <c r="B5" t="s">
        <v>41</v>
      </c>
      <c r="C5" s="8">
        <v>0</v>
      </c>
      <c r="D5">
        <v>1</v>
      </c>
      <c r="E5" s="10">
        <f>WORKDAY(MAX(F4),I5,Holidays!A:A)</f>
        <v>44360</v>
      </c>
      <c r="F5" s="10">
        <f>IF(ISBLANK(J5),WORKDAY(E5,D5,Holidays!A:A),E5+7-WEEKDAY(E5+7-J5))</f>
        <v>44361</v>
      </c>
      <c r="G5" t="s">
        <v>22</v>
      </c>
      <c r="I5">
        <v>0</v>
      </c>
      <c r="J5" s="9"/>
      <c r="K5" s="10"/>
      <c r="L5" s="10"/>
    </row>
    <row r="6" spans="1:12" x14ac:dyDescent="0.15">
      <c r="B6" t="s">
        <v>42</v>
      </c>
      <c r="C6" s="8">
        <v>0</v>
      </c>
      <c r="D6">
        <v>1</v>
      </c>
      <c r="E6" s="10">
        <f>WORKDAY(MAX(F4),I6,Holidays!A:A)</f>
        <v>44360</v>
      </c>
      <c r="F6" s="10">
        <f>IF(ISBLANK(J6),WORKDAY(E6,D6,Holidays!A:A),E6+7-WEEKDAY(E6+7-J6))</f>
        <v>44361</v>
      </c>
      <c r="G6" t="s">
        <v>23</v>
      </c>
      <c r="I6">
        <v>0</v>
      </c>
      <c r="J6" s="9"/>
      <c r="K6" s="10"/>
      <c r="L6" s="10"/>
    </row>
    <row r="7" spans="1:12" x14ac:dyDescent="0.15">
      <c r="B7" t="s">
        <v>43</v>
      </c>
      <c r="C7" s="8">
        <v>0</v>
      </c>
      <c r="D7">
        <v>1</v>
      </c>
      <c r="E7" s="10">
        <f>WORKDAY(MAX(F4),I7,Holidays!A:A)</f>
        <v>44360</v>
      </c>
      <c r="F7" s="10">
        <f>IF(ISBLANK(J7),WORKDAY(E7,D7,Holidays!A:A),E7+7-WEEKDAY(E7+7-J7))</f>
        <v>44361</v>
      </c>
      <c r="G7" t="s">
        <v>24</v>
      </c>
      <c r="I7">
        <v>0</v>
      </c>
      <c r="J7" s="9"/>
      <c r="K7" s="10"/>
      <c r="L7" s="10"/>
    </row>
    <row r="8" spans="1:12" x14ac:dyDescent="0.15">
      <c r="B8" t="s">
        <v>19</v>
      </c>
      <c r="C8" s="8">
        <v>0</v>
      </c>
      <c r="D8">
        <v>1</v>
      </c>
      <c r="E8" s="10">
        <f>WORKDAY(MAX(F4),I8,Holidays!A:A)</f>
        <v>44360</v>
      </c>
      <c r="F8" s="10">
        <f>IF(ISBLANK(J8),WORKDAY(E8,D8,Holidays!A:A),E8+7-WEEKDAY(E8+7-J8))</f>
        <v>44361</v>
      </c>
      <c r="G8" t="s">
        <v>25</v>
      </c>
      <c r="I8">
        <v>0</v>
      </c>
      <c r="J8" s="9"/>
      <c r="K8" s="10"/>
      <c r="L8" s="10"/>
    </row>
    <row r="9" spans="1:12" x14ac:dyDescent="0.15">
      <c r="B9" t="s">
        <v>16</v>
      </c>
      <c r="C9" s="8" t="s">
        <v>44</v>
      </c>
      <c r="D9">
        <v>1</v>
      </c>
      <c r="E9" s="10">
        <f>WORKDAY(MAX(F5,F6),I9,Holidays!A:A)</f>
        <v>44362</v>
      </c>
      <c r="F9" s="10">
        <f>IF(ISBLANK(J9),WORKDAY(E9,D9,Holidays!A:A),E9+7-WEEKDAY(E9+7-J9))</f>
        <v>44363</v>
      </c>
      <c r="G9" t="s">
        <v>26</v>
      </c>
      <c r="I9">
        <v>1</v>
      </c>
      <c r="J9" s="9"/>
      <c r="K9" s="10"/>
      <c r="L9" s="10"/>
    </row>
    <row r="10" spans="1:12" x14ac:dyDescent="0.15">
      <c r="B10" t="s">
        <v>45</v>
      </c>
      <c r="C10" s="8">
        <v>2</v>
      </c>
      <c r="D10">
        <v>1</v>
      </c>
      <c r="E10" s="10">
        <f>WORKDAY(MAX(F6),I10,Holidays!A:A)</f>
        <v>44362</v>
      </c>
      <c r="F10" s="10">
        <f>IF(ISBLANK(J10),WORKDAY(E10,D10,Holidays!A:A),E10+7-WEEKDAY(E10+7-J10))</f>
        <v>44363</v>
      </c>
      <c r="G10" t="s">
        <v>27</v>
      </c>
      <c r="I10">
        <v>1</v>
      </c>
      <c r="J10" s="9"/>
      <c r="K10" s="10"/>
      <c r="L10" s="10"/>
    </row>
    <row r="11" spans="1:12" x14ac:dyDescent="0.15">
      <c r="B11" t="s">
        <v>46</v>
      </c>
      <c r="C11" s="8" t="s">
        <v>47</v>
      </c>
      <c r="D11">
        <v>1</v>
      </c>
      <c r="E11" s="10">
        <f>WORKDAY(MAX(F7,F8),I11,Holidays!A:A)</f>
        <v>44362</v>
      </c>
      <c r="F11" s="10">
        <f>IF(ISBLANK(J11),WORKDAY(E11,D11,Holidays!A:A),E11+7-WEEKDAY(E11+7-J11))</f>
        <v>44363</v>
      </c>
      <c r="G11" t="s">
        <v>28</v>
      </c>
      <c r="I11">
        <v>1</v>
      </c>
      <c r="J11" s="9"/>
      <c r="K11" s="10"/>
      <c r="L11" s="10"/>
    </row>
    <row r="12" spans="1:12" x14ac:dyDescent="0.15">
      <c r="B12" t="s">
        <v>48</v>
      </c>
      <c r="C12" s="8" t="s">
        <v>49</v>
      </c>
      <c r="D12">
        <v>1</v>
      </c>
      <c r="E12" s="10">
        <f>WORKDAY(MAX(F9,F10,F11),I12,Holidays!A:A)</f>
        <v>44364</v>
      </c>
      <c r="F12" s="10">
        <f>IF(ISBLANK(J12),WORKDAY(E12,D12,Holidays!A:A),E12+7-WEEKDAY(E12+7-J12))</f>
        <v>44365</v>
      </c>
      <c r="G12" t="s">
        <v>29</v>
      </c>
      <c r="I12">
        <v>1</v>
      </c>
      <c r="J12" s="9"/>
      <c r="K12" s="10"/>
      <c r="L12" s="10"/>
    </row>
    <row r="13" spans="1:12" x14ac:dyDescent="0.15">
      <c r="B13" t="s">
        <v>50</v>
      </c>
      <c r="C13" s="8">
        <v>8</v>
      </c>
      <c r="D13">
        <v>1</v>
      </c>
      <c r="E13" s="10">
        <f>WORKDAY(MAX(F12),I13,Holidays!A:A)</f>
        <v>44368</v>
      </c>
      <c r="F13" s="10">
        <f>IF(ISBLANK(J13),WORKDAY(E13,D13,Holidays!A:A),E13+7-WEEKDAY(E13+7-J13))</f>
        <v>44369</v>
      </c>
      <c r="G13" t="s">
        <v>30</v>
      </c>
      <c r="I13">
        <v>1</v>
      </c>
      <c r="J13" s="9"/>
      <c r="K13" s="10"/>
      <c r="L13" s="10"/>
    </row>
    <row r="14" spans="1:12" x14ac:dyDescent="0.15">
      <c r="B14" t="s">
        <v>18</v>
      </c>
      <c r="C14" s="8">
        <v>9</v>
      </c>
      <c r="D14">
        <v>1</v>
      </c>
      <c r="E14" s="10">
        <f>WORKDAY(MAX(F13),I14,Holidays!A:A)</f>
        <v>44370</v>
      </c>
      <c r="F14" s="10">
        <f>IF(ISBLANK(J14),WORKDAY(E14,D14,Holidays!A:A),E14+7-WEEKDAY(E14+7-J14))</f>
        <v>44371</v>
      </c>
      <c r="G14" t="s">
        <v>31</v>
      </c>
      <c r="I14">
        <v>1</v>
      </c>
      <c r="J14" s="9"/>
      <c r="K14" s="10"/>
      <c r="L14" s="10"/>
    </row>
    <row r="15" spans="1:12" x14ac:dyDescent="0.15">
      <c r="B15" t="s">
        <v>17</v>
      </c>
      <c r="C15" s="8">
        <v>10</v>
      </c>
      <c r="D15">
        <v>0</v>
      </c>
      <c r="E15" s="10">
        <f>WORKDAY(MAX(F14),I15,Holidays!A:A)</f>
        <v>44371</v>
      </c>
      <c r="F15" s="10">
        <f>IF(ISBLANK(J15),WORKDAY(E15,D15,Holidays!A:A),E15+7-WEEKDAY(E15+7-J15))</f>
        <v>44371</v>
      </c>
      <c r="G15" t="s">
        <v>32</v>
      </c>
      <c r="I15">
        <v>0</v>
      </c>
      <c r="J15" s="9"/>
      <c r="K15" s="10"/>
      <c r="L15" s="10"/>
    </row>
    <row r="16" spans="1:12" x14ac:dyDescent="0.15">
      <c r="E16" s="10"/>
      <c r="F16" s="10"/>
      <c r="J16" s="9"/>
      <c r="K16" s="10"/>
      <c r="L16" s="10"/>
    </row>
    <row r="17" spans="5:12" x14ac:dyDescent="0.15">
      <c r="E17" s="10"/>
      <c r="F17" s="10"/>
      <c r="J17" s="9"/>
      <c r="K17" s="10"/>
      <c r="L17" s="10"/>
    </row>
    <row r="18" spans="5:12" x14ac:dyDescent="0.15">
      <c r="E18" s="10"/>
      <c r="F18" s="10"/>
      <c r="J18" s="9"/>
      <c r="K18" s="10"/>
      <c r="L18" s="10"/>
    </row>
    <row r="19" spans="5:12" x14ac:dyDescent="0.15">
      <c r="E19" s="10"/>
      <c r="F19" s="10"/>
      <c r="J19" s="9"/>
      <c r="K19" s="10"/>
      <c r="L19" s="10"/>
    </row>
    <row r="20" spans="5:12" x14ac:dyDescent="0.15">
      <c r="E20" s="10"/>
      <c r="F20" s="10"/>
      <c r="J20" s="9"/>
      <c r="K20" s="10"/>
      <c r="L20" s="10"/>
    </row>
    <row r="21" spans="5:12" x14ac:dyDescent="0.15">
      <c r="J21" s="9"/>
    </row>
    <row r="22" spans="5:12" x14ac:dyDescent="0.15">
      <c r="J22" s="9"/>
    </row>
    <row r="23" spans="5:12" x14ac:dyDescent="0.15">
      <c r="J23" s="9"/>
    </row>
    <row r="24" spans="5:12" x14ac:dyDescent="0.15">
      <c r="J24" s="9"/>
    </row>
    <row r="25" spans="5:12" x14ac:dyDescent="0.15">
      <c r="J25" s="9"/>
    </row>
  </sheetData>
  <autoFilter ref="A3:J15"/>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PlotSchedule">
                <anchor moveWithCells="1" sizeWithCells="1">
                  <from>
                    <xdr:col>2</xdr:col>
                    <xdr:colOff>428625</xdr:colOff>
                    <xdr:row>0</xdr:row>
                    <xdr:rowOff>114300</xdr:rowOff>
                  </from>
                  <to>
                    <xdr:col>3</xdr:col>
                    <xdr:colOff>866775</xdr:colOff>
                    <xdr:row>0</xdr:row>
                    <xdr:rowOff>476250</xdr:rowOff>
                  </to>
                </anchor>
              </controlPr>
            </control>
          </mc:Choice>
        </mc:AlternateContent>
        <mc:AlternateContent xmlns:mc="http://schemas.openxmlformats.org/markup-compatibility/2006">
          <mc:Choice Requires="x14">
            <control shapeId="2050" r:id="rId5" name="Btn_FillDefault">
              <controlPr defaultSize="0" print="0" autoFill="0" autoPict="0" macro="[0]!Btn_FillDefault">
                <anchor moveWithCells="1" sizeWithCells="1">
                  <from>
                    <xdr:col>4</xdr:col>
                    <xdr:colOff>123825</xdr:colOff>
                    <xdr:row>0</xdr:row>
                    <xdr:rowOff>114300</xdr:rowOff>
                  </from>
                  <to>
                    <xdr:col>6</xdr:col>
                    <xdr:colOff>733425</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rawSheet"/>
  <dimension ref="A1:G11"/>
  <sheetViews>
    <sheetView showGridLines="0" tabSelected="1" zoomScaleNormal="100" workbookViewId="0">
      <pane ySplit="10" topLeftCell="A11" activePane="bottomLeft" state="frozen"/>
      <selection pane="bottomLeft" activeCell="A11" sqref="A11"/>
    </sheetView>
  </sheetViews>
  <sheetFormatPr defaultRowHeight="13.5" outlineLevelRow="1" x14ac:dyDescent="0.15"/>
  <cols>
    <col min="1" max="1" width="25.375" customWidth="1"/>
    <col min="2" max="2" width="23.875" customWidth="1"/>
    <col min="3" max="3" width="46" customWidth="1"/>
    <col min="4" max="4" width="23.25" customWidth="1"/>
    <col min="5" max="5" width="22.625" customWidth="1"/>
    <col min="6" max="6" width="23.25" customWidth="1"/>
    <col min="7" max="7" width="22.125" customWidth="1"/>
  </cols>
  <sheetData>
    <row r="1" spans="1:7" s="2" customFormat="1" ht="24.75" customHeight="1" x14ac:dyDescent="0.15">
      <c r="A1" s="4" t="s">
        <v>0</v>
      </c>
      <c r="B1" s="4" t="s">
        <v>1</v>
      </c>
      <c r="C1" s="4" t="s">
        <v>2</v>
      </c>
      <c r="D1" s="4" t="s">
        <v>11</v>
      </c>
      <c r="E1" s="4" t="s">
        <v>3</v>
      </c>
      <c r="F1" s="17" t="s">
        <v>33</v>
      </c>
      <c r="G1" s="18"/>
    </row>
    <row r="2" spans="1:7" s="2" customFormat="1" x14ac:dyDescent="0.15">
      <c r="A2" s="3"/>
      <c r="B2" s="3"/>
      <c r="C2" s="3"/>
      <c r="D2" s="3"/>
      <c r="E2" s="3"/>
      <c r="F2" s="13"/>
      <c r="G2" s="14"/>
    </row>
    <row r="3" spans="1:7" s="2" customFormat="1" x14ac:dyDescent="0.15">
      <c r="A3" s="3"/>
      <c r="B3" s="3"/>
      <c r="C3" s="3"/>
      <c r="D3" s="3"/>
      <c r="E3" s="3"/>
      <c r="F3" s="13"/>
      <c r="G3" s="14"/>
    </row>
    <row r="4" spans="1:7" s="2" customFormat="1" x14ac:dyDescent="0.15">
      <c r="A4" s="3"/>
      <c r="B4" s="3"/>
      <c r="C4" s="3"/>
      <c r="D4" s="3"/>
      <c r="E4" s="3"/>
      <c r="F4" s="13"/>
      <c r="G4" s="14"/>
    </row>
    <row r="5" spans="1:7" s="2" customFormat="1" x14ac:dyDescent="0.15">
      <c r="A5" s="3"/>
      <c r="B5" s="3"/>
      <c r="C5" s="3"/>
      <c r="D5" s="3"/>
      <c r="E5" s="3"/>
      <c r="F5" s="13"/>
      <c r="G5" s="14"/>
    </row>
    <row r="6" spans="1:7" s="2" customFormat="1" x14ac:dyDescent="0.15">
      <c r="A6" s="3"/>
      <c r="B6" s="3"/>
      <c r="C6" s="3"/>
      <c r="D6" s="3"/>
      <c r="E6" s="3"/>
      <c r="F6" s="13"/>
      <c r="G6" s="14"/>
    </row>
    <row r="7" spans="1:7" s="2" customFormat="1" x14ac:dyDescent="0.15">
      <c r="A7" s="3"/>
      <c r="B7" s="3"/>
      <c r="C7" s="3"/>
      <c r="D7" s="3"/>
      <c r="E7" s="3"/>
      <c r="F7" s="13"/>
      <c r="G7" s="14"/>
    </row>
    <row r="8" spans="1:7" s="2" customFormat="1" x14ac:dyDescent="0.15">
      <c r="A8" s="3"/>
      <c r="B8" s="3"/>
      <c r="C8" s="3"/>
      <c r="D8" s="3"/>
      <c r="E8" s="3"/>
      <c r="F8" s="13"/>
      <c r="G8" s="14"/>
    </row>
    <row r="9" spans="1:7" s="2" customFormat="1" x14ac:dyDescent="0.15">
      <c r="A9" s="3"/>
      <c r="B9" s="3"/>
      <c r="C9" s="3"/>
      <c r="D9" s="3"/>
      <c r="E9" s="3"/>
      <c r="F9" s="13"/>
      <c r="G9" s="14"/>
    </row>
    <row r="10" spans="1:7" s="11" customFormat="1" ht="81" hidden="1" customHeight="1" outlineLevel="1" x14ac:dyDescent="0.15"/>
    <row r="11" spans="1:7" collapsed="1" x14ac:dyDescent="0.15"/>
  </sheetData>
  <mergeCells count="1">
    <mergeCell ref="F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RemoveAllShapse">
              <controlPr defaultSize="0" print="0" autoFill="0" autoPict="0" macro="[0]!EntryPoint">
                <anchor>
                  <from>
                    <xdr:col>4</xdr:col>
                    <xdr:colOff>171450</xdr:colOff>
                    <xdr:row>1</xdr:row>
                    <xdr:rowOff>76200</xdr:rowOff>
                  </from>
                  <to>
                    <xdr:col>4</xdr:col>
                    <xdr:colOff>1600200</xdr:colOff>
                    <xdr:row>4</xdr:row>
                    <xdr:rowOff>114300</xdr:rowOff>
                  </to>
                </anchor>
              </controlPr>
            </control>
          </mc:Choice>
        </mc:AlternateContent>
        <mc:AlternateContent xmlns:mc="http://schemas.openxmlformats.org/markup-compatibility/2006">
          <mc:Choice Requires="x14">
            <control shapeId="1028" r:id="rId5" name="Btn_PlotTasks">
              <controlPr defaultSize="0" print="0" autoFill="0" autoPict="0" macro="[0]!EntryPoint">
                <anchor>
                  <from>
                    <xdr:col>0</xdr:col>
                    <xdr:colOff>295275</xdr:colOff>
                    <xdr:row>1</xdr:row>
                    <xdr:rowOff>85725</xdr:rowOff>
                  </from>
                  <to>
                    <xdr:col>0</xdr:col>
                    <xdr:colOff>1733550</xdr:colOff>
                    <xdr:row>4</xdr:row>
                    <xdr:rowOff>123825</xdr:rowOff>
                  </to>
                </anchor>
              </controlPr>
            </control>
          </mc:Choice>
        </mc:AlternateContent>
        <mc:AlternateContent xmlns:mc="http://schemas.openxmlformats.org/markup-compatibility/2006">
          <mc:Choice Requires="x14">
            <control shapeId="1029" r:id="rId6" name="Btn_OrderNodeVertical">
              <controlPr defaultSize="0" print="0" autoFill="0" autoPict="0" macro="[0]!EntryPoint">
                <anchor>
                  <from>
                    <xdr:col>1</xdr:col>
                    <xdr:colOff>171450</xdr:colOff>
                    <xdr:row>1</xdr:row>
                    <xdr:rowOff>66675</xdr:rowOff>
                  </from>
                  <to>
                    <xdr:col>1</xdr:col>
                    <xdr:colOff>1600200</xdr:colOff>
                    <xdr:row>4</xdr:row>
                    <xdr:rowOff>104775</xdr:rowOff>
                  </to>
                </anchor>
              </controlPr>
            </control>
          </mc:Choice>
        </mc:AlternateContent>
        <mc:AlternateContent xmlns:mc="http://schemas.openxmlformats.org/markup-compatibility/2006">
          <mc:Choice Requires="x14">
            <control shapeId="1030" r:id="rId7" name="Btn_FindDisconnection">
              <controlPr defaultSize="0" print="0" autoFill="0" autoPict="0" macro="[0]!EntryPointOperational">
                <anchor>
                  <from>
                    <xdr:col>2</xdr:col>
                    <xdr:colOff>1895475</xdr:colOff>
                    <xdr:row>1</xdr:row>
                    <xdr:rowOff>66675</xdr:rowOff>
                  </from>
                  <to>
                    <xdr:col>2</xdr:col>
                    <xdr:colOff>3333750</xdr:colOff>
                    <xdr:row>4</xdr:row>
                    <xdr:rowOff>104775</xdr:rowOff>
                  </to>
                </anchor>
              </controlPr>
            </control>
          </mc:Choice>
        </mc:AlternateContent>
        <mc:AlternateContent xmlns:mc="http://schemas.openxmlformats.org/markup-compatibility/2006">
          <mc:Choice Requires="x14">
            <control shapeId="1031" r:id="rId8" name="Btn_ConnectStreight">
              <controlPr defaultSize="0" print="0" autoFill="0" autoPict="0" macro="[0]!EntryPoint">
                <anchor>
                  <from>
                    <xdr:col>2</xdr:col>
                    <xdr:colOff>209550</xdr:colOff>
                    <xdr:row>1</xdr:row>
                    <xdr:rowOff>66675</xdr:rowOff>
                  </from>
                  <to>
                    <xdr:col>2</xdr:col>
                    <xdr:colOff>1647825</xdr:colOff>
                    <xdr:row>4</xdr:row>
                    <xdr:rowOff>104775</xdr:rowOff>
                  </to>
                </anchor>
              </controlPr>
            </control>
          </mc:Choice>
        </mc:AlternateContent>
        <mc:AlternateContent xmlns:mc="http://schemas.openxmlformats.org/markup-compatibility/2006">
          <mc:Choice Requires="x14">
            <control shapeId="1032" r:id="rId9" name="Btn_ConnectSplit">
              <controlPr defaultSize="0" print="0" autoFill="0" autoPict="0" macro="[0]!EntryPoint">
                <anchor>
                  <from>
                    <xdr:col>2</xdr:col>
                    <xdr:colOff>209550</xdr:colOff>
                    <xdr:row>5</xdr:row>
                    <xdr:rowOff>47625</xdr:rowOff>
                  </from>
                  <to>
                    <xdr:col>2</xdr:col>
                    <xdr:colOff>1647825</xdr:colOff>
                    <xdr:row>8</xdr:row>
                    <xdr:rowOff>85725</xdr:rowOff>
                  </to>
                </anchor>
              </controlPr>
            </control>
          </mc:Choice>
        </mc:AlternateContent>
        <mc:AlternateContent xmlns:mc="http://schemas.openxmlformats.org/markup-compatibility/2006">
          <mc:Choice Requires="x14">
            <control shapeId="1033" r:id="rId10" name="Btn_ConnectMarge">
              <controlPr defaultSize="0" print="0" autoFill="0" autoPict="0" macro="[0]!EntryPoint">
                <anchor>
                  <from>
                    <xdr:col>2</xdr:col>
                    <xdr:colOff>1895475</xdr:colOff>
                    <xdr:row>5</xdr:row>
                    <xdr:rowOff>47625</xdr:rowOff>
                  </from>
                  <to>
                    <xdr:col>2</xdr:col>
                    <xdr:colOff>3333750</xdr:colOff>
                    <xdr:row>8</xdr:row>
                    <xdr:rowOff>85725</xdr:rowOff>
                  </to>
                </anchor>
              </controlPr>
            </control>
          </mc:Choice>
        </mc:AlternateContent>
        <mc:AlternateContent xmlns:mc="http://schemas.openxmlformats.org/markup-compatibility/2006">
          <mc:Choice Requires="x14">
            <control shapeId="1034" r:id="rId11" name="Btn_SwapNodeLocation">
              <controlPr defaultSize="0" print="0" autoFill="0" autoPict="0" macro="[0]!EntryPoint">
                <anchor>
                  <from>
                    <xdr:col>1</xdr:col>
                    <xdr:colOff>171450</xdr:colOff>
                    <xdr:row>5</xdr:row>
                    <xdr:rowOff>47625</xdr:rowOff>
                  </from>
                  <to>
                    <xdr:col>1</xdr:col>
                    <xdr:colOff>1600200</xdr:colOff>
                    <xdr:row>8</xdr:row>
                    <xdr:rowOff>85725</xdr:rowOff>
                  </to>
                </anchor>
              </controlPr>
            </control>
          </mc:Choice>
        </mc:AlternateContent>
        <mc:AlternateContent xmlns:mc="http://schemas.openxmlformats.org/markup-compatibility/2006">
          <mc:Choice Requires="x14">
            <control shapeId="1035" r:id="rId12" name="Btn_RemoveConnections">
              <controlPr defaultSize="0" print="0" autoFill="0" autoPict="0" macro="[0]!EntryPoint">
                <anchor>
                  <from>
                    <xdr:col>4</xdr:col>
                    <xdr:colOff>171450</xdr:colOff>
                    <xdr:row>5</xdr:row>
                    <xdr:rowOff>57150</xdr:rowOff>
                  </from>
                  <to>
                    <xdr:col>4</xdr:col>
                    <xdr:colOff>1600200</xdr:colOff>
                    <xdr:row>8</xdr:row>
                    <xdr:rowOff>95250</xdr:rowOff>
                  </to>
                </anchor>
              </controlPr>
            </control>
          </mc:Choice>
        </mc:AlternateContent>
        <mc:AlternateContent xmlns:mc="http://schemas.openxmlformats.org/markup-compatibility/2006">
          <mc:Choice Requires="x14">
            <control shapeId="1036" r:id="rId13" name="Btn_NumberingNodes">
              <controlPr defaultSize="0" print="0" autoFill="0" autoPict="0" macro="[0]!EntryPoint">
                <anchor>
                  <from>
                    <xdr:col>3</xdr:col>
                    <xdr:colOff>171450</xdr:colOff>
                    <xdr:row>1</xdr:row>
                    <xdr:rowOff>85725</xdr:rowOff>
                  </from>
                  <to>
                    <xdr:col>3</xdr:col>
                    <xdr:colOff>1609725</xdr:colOff>
                    <xdr:row>4</xdr:row>
                    <xdr:rowOff>114300</xdr:rowOff>
                  </to>
                </anchor>
              </controlPr>
            </control>
          </mc:Choice>
        </mc:AlternateContent>
        <mc:AlternateContent xmlns:mc="http://schemas.openxmlformats.org/markup-compatibility/2006">
          <mc:Choice Requires="x14">
            <control shapeId="1037" r:id="rId14" name="Btn_DeNumberingAllNodes">
              <controlPr defaultSize="0" print="0" autoFill="0" autoPict="0" macro="[0]!EntryPoint">
                <anchor>
                  <from>
                    <xdr:col>3</xdr:col>
                    <xdr:colOff>171450</xdr:colOff>
                    <xdr:row>5</xdr:row>
                    <xdr:rowOff>57150</xdr:rowOff>
                  </from>
                  <to>
                    <xdr:col>3</xdr:col>
                    <xdr:colOff>1609725</xdr:colOff>
                    <xdr:row>8</xdr:row>
                    <xdr:rowOff>95250</xdr:rowOff>
                  </to>
                </anchor>
              </controlPr>
            </control>
          </mc:Choice>
        </mc:AlternateContent>
        <mc:AlternateContent xmlns:mc="http://schemas.openxmlformats.org/markup-compatibility/2006">
          <mc:Choice Requires="x14">
            <control shapeId="1041" r:id="rId15" name="Btn_SetCompletedIcon">
              <controlPr defaultSize="0" print="0" autoFill="0" autoPict="0" macro="[0]!EntryPointOperational">
                <anchor>
                  <from>
                    <xdr:col>5</xdr:col>
                    <xdr:colOff>190500</xdr:colOff>
                    <xdr:row>1</xdr:row>
                    <xdr:rowOff>66675</xdr:rowOff>
                  </from>
                  <to>
                    <xdr:col>5</xdr:col>
                    <xdr:colOff>1619250</xdr:colOff>
                    <xdr:row>4</xdr:row>
                    <xdr:rowOff>104775</xdr:rowOff>
                  </to>
                </anchor>
              </controlPr>
            </control>
          </mc:Choice>
        </mc:AlternateContent>
        <mc:AlternateContent xmlns:mc="http://schemas.openxmlformats.org/markup-compatibility/2006">
          <mc:Choice Requires="x14">
            <control shapeId="1042" r:id="rId16" name="Btn_SetCancelledIcon">
              <controlPr defaultSize="0" print="0" autoFill="0" autoPict="0" macro="[0]!EntryPointOperational">
                <anchor>
                  <from>
                    <xdr:col>5</xdr:col>
                    <xdr:colOff>171450</xdr:colOff>
                    <xdr:row>5</xdr:row>
                    <xdr:rowOff>66675</xdr:rowOff>
                  </from>
                  <to>
                    <xdr:col>5</xdr:col>
                    <xdr:colOff>1600200</xdr:colOff>
                    <xdr:row>8</xdr:row>
                    <xdr:rowOff>104775</xdr:rowOff>
                  </to>
                </anchor>
              </controlPr>
            </control>
          </mc:Choice>
        </mc:AlternateContent>
        <mc:AlternateContent xmlns:mc="http://schemas.openxmlformats.org/markup-compatibility/2006">
          <mc:Choice Requires="x14">
            <control shapeId="1043" r:id="rId17" name="Btn_ClearIcon">
              <controlPr defaultSize="0" print="0" autoFill="0" autoPict="0" macro="[0]!EntryPointOperational">
                <anchor>
                  <from>
                    <xdr:col>6</xdr:col>
                    <xdr:colOff>85725</xdr:colOff>
                    <xdr:row>5</xdr:row>
                    <xdr:rowOff>66675</xdr:rowOff>
                  </from>
                  <to>
                    <xdr:col>6</xdr:col>
                    <xdr:colOff>1514475</xdr:colOff>
                    <xdr:row>8</xdr:row>
                    <xdr:rowOff>104775</xdr:rowOff>
                  </to>
                </anchor>
              </controlPr>
            </control>
          </mc:Choice>
        </mc:AlternateContent>
        <mc:AlternateContent xmlns:mc="http://schemas.openxmlformats.org/markup-compatibility/2006">
          <mc:Choice Requires="x14">
            <control shapeId="1044" r:id="rId18" name="Btn_SetInProgressIcon">
              <controlPr defaultSize="0" print="0" autoFill="0" autoPict="0" macro="[0]!EntryPointOperational">
                <anchor>
                  <from>
                    <xdr:col>6</xdr:col>
                    <xdr:colOff>85725</xdr:colOff>
                    <xdr:row>1</xdr:row>
                    <xdr:rowOff>66675</xdr:rowOff>
                  </from>
                  <to>
                    <xdr:col>6</xdr:col>
                    <xdr:colOff>1514475</xdr:colOff>
                    <xdr:row>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onSheet"/>
  <dimension ref="A1"/>
  <sheetViews>
    <sheetView zoomScale="145" zoomScaleNormal="145" workbookViewId="0"/>
  </sheetViews>
  <sheetFormatPr defaultRowHeight="13.5" x14ac:dyDescent="0.15"/>
  <sheetData>
    <row r="1" spans="1:1" x14ac:dyDescent="0.15">
      <c r="A1" s="12" t="s">
        <v>20</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sSheet"/>
  <dimension ref="A1:A3"/>
  <sheetViews>
    <sheetView workbookViewId="0"/>
  </sheetViews>
  <sheetFormatPr defaultRowHeight="13.5" x14ac:dyDescent="0.15"/>
  <cols>
    <col min="1" max="1" width="10.5" bestFit="1" customWidth="1"/>
  </cols>
  <sheetData>
    <row r="1" spans="1:1" x14ac:dyDescent="0.15">
      <c r="A1" s="5">
        <v>44319</v>
      </c>
    </row>
    <row r="2" spans="1:1" x14ac:dyDescent="0.15">
      <c r="A2" s="5">
        <v>44320</v>
      </c>
    </row>
    <row r="3" spans="1:1" x14ac:dyDescent="0.15">
      <c r="A3" s="5">
        <v>44321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D4"/>
  <sheetViews>
    <sheetView workbookViewId="0">
      <selection activeCell="B44" sqref="B44"/>
    </sheetView>
  </sheetViews>
  <sheetFormatPr defaultRowHeight="13.5" x14ac:dyDescent="0.15"/>
  <cols>
    <col min="1" max="1" width="5.875" customWidth="1"/>
    <col min="2" max="2" width="34.25" bestFit="1" customWidth="1"/>
    <col min="3" max="3" width="12" bestFit="1" customWidth="1"/>
    <col min="4" max="4" width="102.375" bestFit="1" customWidth="1"/>
  </cols>
  <sheetData>
    <row r="1" spans="1:4" ht="18.75" x14ac:dyDescent="0.15">
      <c r="A1" s="16" t="s">
        <v>34</v>
      </c>
    </row>
    <row r="3" spans="1:4" x14ac:dyDescent="0.15">
      <c r="B3" s="1" t="s">
        <v>36</v>
      </c>
      <c r="C3" s="1" t="s">
        <v>35</v>
      </c>
      <c r="D3" s="1" t="s">
        <v>37</v>
      </c>
    </row>
    <row r="4" spans="1:4" ht="54" x14ac:dyDescent="0.15">
      <c r="B4" s="15" t="s">
        <v>39</v>
      </c>
      <c r="C4" t="b">
        <v>0</v>
      </c>
      <c r="D4" s="15"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Schedule</vt:lpstr>
      <vt:lpstr>Draw</vt:lpstr>
      <vt:lpstr>Icon</vt:lpstr>
      <vt:lpstr>Holidays</vt:lpstr>
      <vt:lpstr>Config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Takayuki Hommura</dc:creator>
  <cp:lastModifiedBy>Takayuki Hommura</cp:lastModifiedBy>
  <dcterms:created xsi:type="dcterms:W3CDTF">2021-05-22T03:26:50Z</dcterms:created>
  <dcterms:modified xsi:type="dcterms:W3CDTF">2023-04-22T09:11:40Z</dcterms:modified>
</cp:coreProperties>
</file>