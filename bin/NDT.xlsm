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</sheets>
  <functionGroups builtInGroupCount="18"/>
  <definedNames>
    <definedName name="_xlnm._FilterDatabase" localSheetId="0" hidden="1">Schedule!$A$3:$J$11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5" i="3" s="1"/>
  <c r="F5" i="3" s="1"/>
  <c r="E6" i="3" s="1"/>
  <c r="F6" i="3" s="1"/>
  <c r="E7" i="3" s="1"/>
  <c r="F7" i="3" s="1"/>
  <c r="E8" i="3" s="1"/>
  <c r="F8" i="3" s="1"/>
  <c r="E9" i="3" s="1"/>
  <c r="F9" i="3" s="1"/>
  <c r="E10" i="3" s="1"/>
  <c r="F10" i="3" s="1"/>
  <c r="E11" i="3" s="1"/>
  <c r="F11" i="3" s="1"/>
</calcChain>
</file>

<file path=xl/sharedStrings.xml><?xml version="1.0" encoding="utf-8"?>
<sst xmlns="http://schemas.openxmlformats.org/spreadsheetml/2006/main" count="32" uniqueCount="32">
  <si>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</si>
  <si>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</si>
  <si>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</si>
  <si>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</si>
  <si>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</si>
  <si>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</si>
  <si>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</si>
  <si>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</si>
  <si>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</si>
  <si>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</si>
  <si>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</si>
  <si>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</si>
  <si>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</si>
  <si>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</si>
  <si>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</si>
  <si>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</si>
  <si>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Oval 1073</t>
  </si>
  <si>
    <t>Oval 1074</t>
  </si>
  <si>
    <t>Oval 1075</t>
  </si>
  <si>
    <t>Oval 1076</t>
  </si>
  <si>
    <t>Oval 1077</t>
  </si>
  <si>
    <t>Oval 1078</t>
  </si>
  <si>
    <t>Oval 1080</t>
  </si>
  <si>
    <t>Oval 1088</t>
  </si>
  <si>
    <t>START</t>
    <phoneticPr fontId="1"/>
  </si>
  <si>
    <t>Drawシートでタスクをプロットして配置する</t>
    <phoneticPr fontId="1"/>
  </si>
  <si>
    <t>思いつくままにScheduleシートにタスクを追加</t>
    <phoneticPr fontId="1"/>
  </si>
  <si>
    <t>タスク同士をコネクトする</t>
    <phoneticPr fontId="1"/>
  </si>
  <si>
    <t>タスクのナンバリング</t>
    <phoneticPr fontId="1"/>
  </si>
  <si>
    <t>Scheduleシートにスケジュールをプロット</t>
    <phoneticPr fontId="1"/>
  </si>
  <si>
    <t>AAA</t>
    <phoneticPr fontId="1"/>
  </si>
  <si>
    <t>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</si>
</sst>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1651000</xdr:colOff>
      <xdr:row>11</xdr:row>
      <xdr:rowOff>130175</xdr:rowOff>
    </xdr:from>
    <xdr:to>
      <xdr:col>1</xdr:col>
      <xdr:colOff>479425</xdr:colOff>
      <xdr:row>16</xdr:row>
      <xdr:rowOff>34925</xdr:rowOff>
    </xdr:to>
    <xdr:sp macro="" textlink="">
      <xdr:nvSpPr>
        <xdr:cNvPr id="1074" name="円/楕円 1073"/>
        <xdr:cNvSpPr/>
      </xdr:nvSpPr>
      <xdr:spPr>
        <a:xfrm>
          <a:off x="165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606425</xdr:colOff>
      <xdr:row>11</xdr:row>
      <xdr:rowOff>130175</xdr:rowOff>
    </xdr:from>
    <xdr:to>
      <xdr:col>1</xdr:col>
      <xdr:colOff>1368425</xdr:colOff>
      <xdr:row>16</xdr:row>
      <xdr:rowOff>34925</xdr:rowOff>
    </xdr:to>
    <xdr:sp macro="" textlink="">
      <xdr:nvSpPr>
        <xdr:cNvPr id="1075" name="円/楕円 1074"/>
        <xdr:cNvSpPr/>
      </xdr:nvSpPr>
      <xdr:spPr>
        <a:xfrm>
          <a:off x="254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1495425</xdr:colOff>
      <xdr:row>11</xdr:row>
      <xdr:rowOff>130175</xdr:rowOff>
    </xdr:from>
    <xdr:to>
      <xdr:col>2</xdr:col>
      <xdr:colOff>438150</xdr:colOff>
      <xdr:row>16</xdr:row>
      <xdr:rowOff>34925</xdr:rowOff>
    </xdr:to>
    <xdr:sp macro="" textlink="">
      <xdr:nvSpPr>
        <xdr:cNvPr id="1076" name="円/楕円 1075"/>
        <xdr:cNvSpPr/>
      </xdr:nvSpPr>
      <xdr:spPr>
        <a:xfrm>
          <a:off x="342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en-US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2</xdr:col>
      <xdr:colOff>565150</xdr:colOff>
      <xdr:row>11</xdr:row>
      <xdr:rowOff>130175</xdr:rowOff>
    </xdr:from>
    <xdr:to>
      <xdr:col>2</xdr:col>
      <xdr:colOff>1327150</xdr:colOff>
      <xdr:row>16</xdr:row>
      <xdr:rowOff>34925</xdr:rowOff>
    </xdr:to>
    <xdr:sp macro="" textlink="">
      <xdr:nvSpPr>
        <xdr:cNvPr id="1077" name="円/楕円 1076"/>
        <xdr:cNvSpPr/>
      </xdr:nvSpPr>
      <xdr:spPr>
        <a:xfrm>
          <a:off x="431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2</xdr:col>
      <xdr:colOff>1454150</xdr:colOff>
      <xdr:row>11</xdr:row>
      <xdr:rowOff>130175</xdr:rowOff>
    </xdr:from>
    <xdr:to>
      <xdr:col>2</xdr:col>
      <xdr:colOff>2216150</xdr:colOff>
      <xdr:row>16</xdr:row>
      <xdr:rowOff>34925</xdr:rowOff>
    </xdr:to>
    <xdr:sp macro="" textlink="">
      <xdr:nvSpPr>
        <xdr:cNvPr id="1078" name="円/楕円 1077"/>
        <xdr:cNvSpPr/>
      </xdr:nvSpPr>
      <xdr:spPr>
        <a:xfrm>
          <a:off x="5207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2</xdr:col>
      <xdr:colOff>2343150</xdr:colOff>
      <xdr:row>11</xdr:row>
      <xdr:rowOff>130175</xdr:rowOff>
    </xdr:from>
    <xdr:to>
      <xdr:col>2</xdr:col>
      <xdr:colOff>3105150</xdr:colOff>
      <xdr:row>16</xdr:row>
      <xdr:rowOff>34925</xdr:rowOff>
    </xdr:to>
    <xdr:sp macro="" textlink="">
      <xdr:nvSpPr>
        <xdr:cNvPr id="1079" name="円/楕円 1078"/>
        <xdr:cNvSpPr/>
      </xdr:nvSpPr>
      <xdr:spPr>
        <a:xfrm>
          <a:off x="6096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3</xdr:col>
      <xdr:colOff>615950</xdr:colOff>
      <xdr:row>11</xdr:row>
      <xdr:rowOff>130175</xdr:rowOff>
    </xdr:from>
    <xdr:to>
      <xdr:col>3</xdr:col>
      <xdr:colOff>1377950</xdr:colOff>
      <xdr:row>16</xdr:row>
      <xdr:rowOff>34925</xdr:rowOff>
    </xdr:to>
    <xdr:sp macro="" textlink="">
      <xdr:nvSpPr>
        <xdr:cNvPr id="1081" name="円/楕円 1080"/>
        <xdr:cNvSpPr/>
      </xdr:nvSpPr>
      <xdr:spPr>
        <a:xfrm>
          <a:off x="7874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479425</xdr:colOff>
      <xdr:row>13</xdr:row>
      <xdr:rowOff>168275</xdr:rowOff>
    </xdr:from>
    <xdr:to>
      <xdr:col>1</xdr:col>
      <xdr:colOff>606425</xdr:colOff>
      <xdr:row>13</xdr:row>
      <xdr:rowOff>168275</xdr:rowOff>
    </xdr:to>
    <xdr:cxnSp macro="">
      <xdr:nvCxnSpPr>
        <xdr:cNvPr id="1082" name="直線矢印コネクタ 1081"/>
        <xdr:cNvCxnSpPr>
          <a:stCxn id="1074" idx="6"/>
          <a:endCxn id="1075" idx="2"/>
        </xdr:cNvCxnSpPr>
      </xdr:nvCxnSpPr>
      <xdr:spPr>
        <a:xfrm>
          <a:off x="2413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1368425</xdr:colOff>
      <xdr:row>13</xdr:row>
      <xdr:rowOff>168275</xdr:rowOff>
    </xdr:from>
    <xdr:to>
      <xdr:col>1</xdr:col>
      <xdr:colOff>1495425</xdr:colOff>
      <xdr:row>13</xdr:row>
      <xdr:rowOff>168275</xdr:rowOff>
    </xdr:to>
    <xdr:cxnSp macro="">
      <xdr:nvCxnSpPr>
        <xdr:cNvPr id="1083" name="直線矢印コネクタ 1082"/>
        <xdr:cNvCxnSpPr>
          <a:stCxn id="1075" idx="6"/>
          <a:endCxn id="1076" idx="2"/>
        </xdr:cNvCxnSpPr>
      </xdr:nvCxnSpPr>
      <xdr:spPr>
        <a:xfrm>
          <a:off x="3302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13</xdr:row>
      <xdr:rowOff>168275</xdr:rowOff>
    </xdr:from>
    <xdr:to>
      <xdr:col>2</xdr:col>
      <xdr:colOff>565150</xdr:colOff>
      <xdr:row>13</xdr:row>
      <xdr:rowOff>168275</xdr:rowOff>
    </xdr:to>
    <xdr:cxnSp macro="">
      <xdr:nvCxnSpPr>
        <xdr:cNvPr id="1084" name="直線矢印コネクタ 1083"/>
        <xdr:cNvCxnSpPr>
          <a:stCxn id="1076" idx="6"/>
          <a:endCxn id="1077" idx="2"/>
        </xdr:cNvCxnSpPr>
      </xdr:nvCxnSpPr>
      <xdr:spPr>
        <a:xfrm>
          <a:off x="4191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1327150</xdr:colOff>
      <xdr:row>13</xdr:row>
      <xdr:rowOff>168275</xdr:rowOff>
    </xdr:from>
    <xdr:to>
      <xdr:col>2</xdr:col>
      <xdr:colOff>1454150</xdr:colOff>
      <xdr:row>13</xdr:row>
      <xdr:rowOff>168275</xdr:rowOff>
    </xdr:to>
    <xdr:cxnSp macro="">
      <xdr:nvCxnSpPr>
        <xdr:cNvPr id="1085" name="直線矢印コネクタ 1084"/>
        <xdr:cNvCxnSpPr>
          <a:stCxn id="1077" idx="6"/>
          <a:endCxn id="1078" idx="2"/>
        </xdr:cNvCxnSpPr>
      </xdr:nvCxnSpPr>
      <xdr:spPr>
        <a:xfrm>
          <a:off x="5080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2216150</xdr:colOff>
      <xdr:row>13</xdr:row>
      <xdr:rowOff>168275</xdr:rowOff>
    </xdr:from>
    <xdr:to>
      <xdr:col>2</xdr:col>
      <xdr:colOff>2343150</xdr:colOff>
      <xdr:row>13</xdr:row>
      <xdr:rowOff>168275</xdr:rowOff>
    </xdr:to>
    <xdr:cxnSp macro="">
      <xdr:nvCxnSpPr>
        <xdr:cNvPr id="1086" name="直線矢印コネクタ 1085"/>
        <xdr:cNvCxnSpPr>
          <a:stCxn id="1078" idx="6"/>
          <a:endCxn id="1079" idx="2"/>
        </xdr:cNvCxnSpPr>
      </xdr:nvCxnSpPr>
      <xdr:spPr>
        <a:xfrm>
          <a:off x="5969000" y="2540000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2860675</xdr:colOff>
      <xdr:row>18</xdr:row>
      <xdr:rowOff>149225</xdr:rowOff>
    </xdr:from>
    <xdr:to>
      <xdr:col>3</xdr:col>
      <xdr:colOff>117475</xdr:colOff>
      <xdr:row>23</xdr:row>
      <xdr:rowOff>53975</xdr:rowOff>
    </xdr:to>
    <xdr:sp macro="" textlink="">
      <xdr:nvSpPr>
        <xdr:cNvPr id="1089" name="円/楕円 1088"/>
        <xdr:cNvSpPr/>
      </xdr:nvSpPr>
      <xdr:spPr>
        <a:xfrm>
          <a:off x="6613525" y="33782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2860675</xdr:colOff>
      <xdr:row>13</xdr:row>
      <xdr:rowOff>168275</xdr:rowOff>
    </xdr:from>
    <xdr:to>
      <xdr:col>2</xdr:col>
      <xdr:colOff>3105150</xdr:colOff>
      <xdr:row>21</xdr:row>
      <xdr:rowOff>15875</xdr:rowOff>
    </xdr:to>
    <xdr:cxnSp macro="">
      <xdr:nvCxnSpPr>
        <xdr:cNvPr id="1090" name="直線矢印コネクタ 1089"/>
        <xdr:cNvCxnSpPr>
          <a:stCxn id="1079" idx="6"/>
          <a:endCxn id="1089" idx="2"/>
        </xdr:cNvCxnSpPr>
      </xdr:nvCxnSpPr>
      <xdr:spPr>
        <a:xfrm flipH="1">
          <a:off x="6613525" y="2540000"/>
          <a:ext cx="244475" cy="12192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117475</xdr:colOff>
      <xdr:row>13</xdr:row>
      <xdr:rowOff>168275</xdr:rowOff>
    </xdr:from>
    <xdr:to>
      <xdr:col>3</xdr:col>
      <xdr:colOff>615950</xdr:colOff>
      <xdr:row>21</xdr:row>
      <xdr:rowOff>15875</xdr:rowOff>
    </xdr:to>
    <xdr:cxnSp macro="">
      <xdr:nvCxnSpPr>
        <xdr:cNvPr id="1091" name="直線矢印コネクタ 1090"/>
        <xdr:cNvCxnSpPr>
          <a:stCxn id="1089" idx="6"/>
          <a:endCxn id="1081" idx="2"/>
        </xdr:cNvCxnSpPr>
      </xdr:nvCxnSpPr>
      <xdr:spPr>
        <a:xfrm flipV="1">
          <a:off x="7375525" y="2540000"/>
          <a:ext cx="498475" cy="12192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tabSelected="1"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9" bestFit="1" customWidth="1"/>
    <col min="4" max="4" width="9.5" bestFit="1" customWidth="1"/>
    <col min="5" max="6" width="15.625" bestFit="1" customWidth="1"/>
    <col min="7" max="7" width="29.3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8" customFormat="1" ht="42" x14ac:dyDescent="0.15">
      <c r="A1" s="7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24</v>
      </c>
      <c r="E4" s="11">
        <v>44346</v>
      </c>
      <c r="F4" s="11">
        <f>IF(ISBLANK(J4),WORKDAY(E4,D4,Holidays!A:A),E4+7-WEEKDAY(E4+7-J4))</f>
        <v>44346</v>
      </c>
      <c r="G4" t="s">
        <v>16</v>
      </c>
      <c r="J4" s="10"/>
      <c r="K4" s="11"/>
      <c r="L4" s="11"/>
    </row>
    <row r="5" spans="1:12" x14ac:dyDescent="0.15">
      <c r="A5">
        <v>1</v>
      </c>
      <c r="B5" t="s">
        <v>25</v>
      </c>
      <c r="C5" s="9">
        <v>0</v>
      </c>
      <c r="D5">
        <v>1</v>
      </c>
      <c r="E5" s="11">
        <f>WORKDAY(MAX(F4),I5,Holidays!A:A)</f>
        <v>44347</v>
      </c>
      <c r="F5" s="11">
        <f>IF(ISBLANK(J5),WORKDAY(E5,D5,Holidays!A:A),E5+7-WEEKDAY(E5+7-J5))</f>
        <v>44348</v>
      </c>
      <c r="G5" t="s">
        <v>17</v>
      </c>
      <c r="I5">
        <v>1</v>
      </c>
      <c r="J5" s="10"/>
      <c r="K5" s="11"/>
      <c r="L5" s="11"/>
    </row>
    <row r="6" spans="1:12" x14ac:dyDescent="0.15">
      <c r="A6">
        <v>2</v>
      </c>
      <c r="B6" t="s">
        <v>26</v>
      </c>
      <c r="C6" s="9">
        <v>1</v>
      </c>
      <c r="D6">
        <v>1</v>
      </c>
      <c r="E6" s="11">
        <f>WORKDAY(MAX(F5),I6,Holidays!A:A)</f>
        <v>44349</v>
      </c>
      <c r="F6" s="11">
        <f>IF(ISBLANK(J6),WORKDAY(E6,D6,Holidays!A:A),E6+7-WEEKDAY(E6+7-J6))</f>
        <v>44350</v>
      </c>
      <c r="G6" t="s">
        <v>18</v>
      </c>
      <c r="I6">
        <v>1</v>
      </c>
      <c r="J6" s="10"/>
      <c r="K6" s="11"/>
      <c r="L6" s="11"/>
    </row>
    <row r="7" spans="1:12" x14ac:dyDescent="0.15">
      <c r="A7">
        <v>3</v>
      </c>
      <c r="B7" t="s">
        <v>27</v>
      </c>
      <c r="C7" s="9">
        <v>2</v>
      </c>
      <c r="D7">
        <v>1</v>
      </c>
      <c r="E7" s="11">
        <f>WORKDAY(MAX(F6),I7,Holidays!A:A)</f>
        <v>44351</v>
      </c>
      <c r="F7" s="11">
        <f>IF(ISBLANK(J7),WORKDAY(E7,D7,Holidays!A:A),E7+7-WEEKDAY(E7+7-J7))</f>
        <v>44354</v>
      </c>
      <c r="G7" t="s">
        <v>19</v>
      </c>
      <c r="I7">
        <v>1</v>
      </c>
      <c r="J7" s="10"/>
      <c r="K7" s="11"/>
      <c r="L7" s="11"/>
    </row>
    <row r="8" spans="1:12" x14ac:dyDescent="0.15">
      <c r="A8">
        <v>4</v>
      </c>
      <c r="B8" t="s">
        <v>28</v>
      </c>
      <c r="C8" s="9">
        <v>3</v>
      </c>
      <c r="D8">
        <v>1</v>
      </c>
      <c r="E8" s="11">
        <f>WORKDAY(MAX(F7),I8,Holidays!A:A)</f>
        <v>44355</v>
      </c>
      <c r="F8" s="11">
        <f>IF(ISBLANK(J8),WORKDAY(E8,D8,Holidays!A:A),E8+7-WEEKDAY(E8+7-J8))</f>
        <v>44356</v>
      </c>
      <c r="G8" t="s">
        <v>20</v>
      </c>
      <c r="I8">
        <v>1</v>
      </c>
      <c r="J8" s="10"/>
      <c r="K8" s="11"/>
      <c r="L8" s="11"/>
    </row>
    <row r="9" spans="1:12" x14ac:dyDescent="0.15">
      <c r="A9">
        <v>5</v>
      </c>
      <c r="B9" t="s">
        <v>29</v>
      </c>
      <c r="C9" s="9">
        <v>4</v>
      </c>
      <c r="D9">
        <v>1</v>
      </c>
      <c r="E9" s="11">
        <f>WORKDAY(MAX(F8),I9,Holidays!A:A)</f>
        <v>44357</v>
      </c>
      <c r="F9" s="11">
        <f>IF(ISBLANK(J9),WORKDAY(E9,D9,Holidays!A:A),E9+7-WEEKDAY(E9+7-J9))</f>
        <v>44358</v>
      </c>
      <c r="G9" t="s">
        <v>21</v>
      </c>
      <c r="I9">
        <v>1</v>
      </c>
      <c r="J9" s="10"/>
      <c r="K9" s="11"/>
      <c r="L9" s="11"/>
    </row>
    <row r="10" spans="1:12" x14ac:dyDescent="0.15">
      <c r="A10">
        <v>6</v>
      </c>
      <c r="B10" t="s">
        <v>30</v>
      </c>
      <c r="C10" s="9">
        <v>5</v>
      </c>
      <c r="E10" s="11">
        <f>WORKDAY(MAX(F9),I10,Holidays!A:A)</f>
        <v>44358</v>
      </c>
      <c r="F10" s="11">
        <f>IF(ISBLANK(J10),WORKDAY(E10,D10,Holidays!A:A),E10+7-WEEKDAY(E10+7-J10))</f>
        <v>44358</v>
      </c>
      <c r="G10" t="s">
        <v>23</v>
      </c>
      <c r="J10" s="10"/>
      <c r="K10" s="11"/>
      <c r="L10" s="11"/>
    </row>
    <row r="11" spans="1:12" x14ac:dyDescent="0.15">
      <c r="A11">
        <v>7</v>
      </c>
      <c r="B11" t="s">
        <v>31</v>
      </c>
      <c r="C11" s="9">
        <v>6</v>
      </c>
      <c r="E11" s="11">
        <f>WORKDAY(MAX(F10),I11,Holidays!A:A)</f>
        <v>44358</v>
      </c>
      <c r="F11" s="11">
        <f>IF(ISBLANK(J11),WORKDAY(E11,D11,Holidays!A:A),E11+7-WEEKDAY(E11+7-J11))</f>
        <v>44358</v>
      </c>
      <c r="G11" t="s">
        <v>22</v>
      </c>
      <c r="J11" s="10"/>
      <c r="K11" s="11"/>
      <c r="L11" s="11"/>
    </row>
    <row r="12" spans="1:12" x14ac:dyDescent="0.15">
      <c r="E12" s="11"/>
      <c r="F12" s="11"/>
      <c r="J12" s="10"/>
      <c r="K12" s="11"/>
      <c r="L12" s="11"/>
    </row>
    <row r="13" spans="1:12" x14ac:dyDescent="0.15">
      <c r="E13" s="11"/>
      <c r="F13" s="11"/>
      <c r="J13" s="10"/>
      <c r="K13" s="11"/>
      <c r="L13" s="11"/>
    </row>
    <row r="14" spans="1:12" x14ac:dyDescent="0.15">
      <c r="E14" s="11"/>
      <c r="F14" s="11"/>
      <c r="J14" s="10"/>
      <c r="K14" s="11"/>
      <c r="L14" s="11"/>
    </row>
    <row r="15" spans="1:12" x14ac:dyDescent="0.15">
      <c r="E15" s="11"/>
      <c r="F15" s="11"/>
      <c r="J15" s="10"/>
      <c r="K15" s="11"/>
      <c r="L15" s="11"/>
    </row>
    <row r="16" spans="1:12" x14ac:dyDescent="0.15">
      <c r="E16" s="11"/>
      <c r="F16" s="11"/>
      <c r="J16" s="10"/>
      <c r="K16" s="11"/>
      <c r="L16" s="11"/>
    </row>
    <row r="17" spans="5:12" x14ac:dyDescent="0.15">
      <c r="E17" s="11"/>
      <c r="F17" s="11"/>
      <c r="J17" s="10"/>
      <c r="K17" s="11"/>
      <c r="L17" s="11"/>
    </row>
    <row r="18" spans="5:12" x14ac:dyDescent="0.15">
      <c r="E18" s="11"/>
      <c r="F18" s="11"/>
      <c r="J18" s="10"/>
      <c r="K18" s="11"/>
      <c r="L18" s="11"/>
    </row>
    <row r="19" spans="5:12" x14ac:dyDescent="0.15">
      <c r="E19" s="11"/>
      <c r="F19" s="11"/>
      <c r="J19" s="10"/>
      <c r="K19" s="11"/>
      <c r="L19" s="11"/>
    </row>
    <row r="20" spans="5:12" x14ac:dyDescent="0.15">
      <c r="E20" s="11"/>
      <c r="F20" s="11"/>
      <c r="J20" s="10"/>
      <c r="K20" s="11"/>
      <c r="L20" s="11"/>
    </row>
    <row r="21" spans="5:12" x14ac:dyDescent="0.15">
      <c r="J21" s="10"/>
    </row>
    <row r="22" spans="5:12" x14ac:dyDescent="0.15">
      <c r="J22" s="10"/>
    </row>
    <row r="23" spans="5:12" x14ac:dyDescent="0.15">
      <c r="J23" s="10"/>
    </row>
    <row r="24" spans="5:12" x14ac:dyDescent="0.15">
      <c r="J24" s="10"/>
    </row>
    <row r="25" spans="5:12" x14ac:dyDescent="0.15">
      <c r="J25" s="10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</vt:lpstr>
      <vt:lpstr>Draw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2021-05-30T04:58:33Z</dcterms:modified>
</cp:coreProperties>
</file>