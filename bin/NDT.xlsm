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ata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0" i="3" l="1"/>
  <c r="F10" i="3" s="1"/>
  <c r="E11" i="3" s="1"/>
  <c r="F11" i="3" s="1"/>
  <c r="E13" i="3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9" i="3"/>
  <c r="F9" i="3" s="1"/>
  <c r="E6" i="3" l="1"/>
  <c r="F6" i="3" s="1"/>
  <c r="E7" i="3" s="1"/>
  <c r="F7" i="3" s="1"/>
  <c r="E18" i="3" s="1"/>
  <c r="F18" i="3" s="1"/>
  <c r="E8" i="3"/>
  <c r="F8" i="3" s="1"/>
</calcChain>
</file>

<file path=xl/sharedStrings.xml><?xml version="1.0" encoding="utf-8"?>
<sst xmlns="http://schemas.openxmlformats.org/spreadsheetml/2006/main" count="48" uniqueCount="48">
  <si>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</si>
  <si>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</si>
  <si>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</si>
  <si>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</si>
  <si>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</si>
  <si>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</si>
  <si>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</si>
  <si>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</si>
  <si>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</si>
  <si>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</si>
  <si>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</si>
  <si>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</si>
  <si>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</si>
  <si>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</si>
  <si>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</si>
  <si>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</si>
  <si>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</si>
  <si>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</si>
  <si>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</si>
  <si>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</si>
  <si>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</si>
  <si>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</si>
  <si>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</si>
  <si>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</si>
  <si>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</si>
  <si>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</si>
  <si>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</si>
  <si>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</si>
  <si>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</si>
  <si>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</si>
  <si>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</si>
  <si>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</si>
  <si>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</si>
  <si>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</si>
  <si>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2,4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</si>
  <si>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</si>
  <si>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</si>
  <si>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</si>
  <si>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</si>
  <si>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</si>
  <si>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</si>
  <si>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</si>
  <si>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</si>
  <si>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</si>
  <si>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</si>
  <si>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</si>
  <si>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3,4,5,7,8,9,13</t>
  </si>
  <si>
    <t>Duration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</si>
</sst>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>
      <selection activeCell="C24" sqref="C24"/>
    </sheetView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29</v>
      </c>
    </row>
    <row r="3" spans="1:6" x14ac:dyDescent="0.15">
      <c r="A3" s="3" t="s">
        <v>24</v>
      </c>
      <c r="B3" s="3" t="s">
        <v>25</v>
      </c>
      <c r="C3" s="3" t="s">
        <v>28</v>
      </c>
      <c r="D3" s="3" t="s">
        <v>47</v>
      </c>
      <c r="E3" s="3" t="s">
        <v>26</v>
      </c>
      <c r="F3" s="3" t="s">
        <v>27</v>
      </c>
    </row>
    <row r="4" spans="1:6" x14ac:dyDescent="0.15">
      <c r="A4">
        <v>0</v>
      </c>
      <c r="B4" t="s">
        <v>30</v>
      </c>
      <c r="D4">
        <v>1</v>
      </c>
      <c r="E4" s="8">
        <v>44341</v>
      </c>
      <c r="F4" s="8">
        <f>WORKDAY(E4,D4,Holidays!A:A)</f>
        <v>44342</v>
      </c>
    </row>
    <row r="5" spans="1:6" x14ac:dyDescent="0.15">
      <c r="A5">
        <v>1</v>
      </c>
      <c r="B5" t="s">
        <v>31</v>
      </c>
      <c r="C5">
        <v>0</v>
      </c>
      <c r="D5">
        <v>1</v>
      </c>
      <c r="E5" s="8">
        <f>WORKDAY(MAX(F4),1,Holidays!A:A)</f>
        <v>44343</v>
      </c>
      <c r="F5" s="8">
        <f>WORKDAY(E5,D5,Holidays!A:A)</f>
        <v>44344</v>
      </c>
    </row>
    <row r="6" spans="1:6" x14ac:dyDescent="0.15">
      <c r="A6">
        <v>2</v>
      </c>
      <c r="B6" t="s">
        <v>32</v>
      </c>
      <c r="C6">
        <v>1</v>
      </c>
      <c r="D6">
        <v>1</v>
      </c>
      <c r="E6" s="8">
        <f>WORKDAY(MAX(F5),1,Holidays!A:A)</f>
        <v>44347</v>
      </c>
      <c r="F6" s="8">
        <f>WORKDAY(E6,D6,Holidays!A:A)</f>
        <v>44348</v>
      </c>
    </row>
    <row r="7" spans="1:6" x14ac:dyDescent="0.15">
      <c r="A7">
        <v>3</v>
      </c>
      <c r="B7" t="s">
        <v>33</v>
      </c>
      <c r="C7" t="s">
        <v>34</v>
      </c>
      <c r="D7">
        <v>1</v>
      </c>
      <c r="E7" s="8">
        <f>WORKDAY(MAX(F6,F8),1,Holidays!A:A)</f>
        <v>44349</v>
      </c>
      <c r="F7" s="8">
        <f>WORKDAY(E7,D7,Holidays!A:A)</f>
        <v>44350</v>
      </c>
    </row>
    <row r="8" spans="1:6" x14ac:dyDescent="0.15">
      <c r="A8">
        <v>4</v>
      </c>
      <c r="B8" t="s">
        <v>35</v>
      </c>
      <c r="C8">
        <v>1</v>
      </c>
      <c r="D8">
        <v>1</v>
      </c>
      <c r="E8" s="8">
        <f>WORKDAY(MAX(F5),1,Holidays!A:A)</f>
        <v>44347</v>
      </c>
      <c r="F8" s="8">
        <f>WORKDAY(E8,D8,Holidays!A:A)</f>
        <v>44348</v>
      </c>
    </row>
    <row r="9" spans="1:6" x14ac:dyDescent="0.15">
      <c r="A9">
        <v>5</v>
      </c>
      <c r="B9" t="s">
        <v>36</v>
      </c>
      <c r="C9">
        <v>0</v>
      </c>
      <c r="D9">
        <v>1</v>
      </c>
      <c r="E9" s="8">
        <f>WORKDAY(MAX(F4),1,Holidays!A:A)</f>
        <v>44343</v>
      </c>
      <c r="F9" s="8">
        <f>WORKDAY(E9,D9,Holidays!A:A)</f>
        <v>44344</v>
      </c>
    </row>
    <row r="10" spans="1:6" x14ac:dyDescent="0.15">
      <c r="A10">
        <v>6</v>
      </c>
      <c r="B10" t="s">
        <v>37</v>
      </c>
      <c r="C10">
        <v>0</v>
      </c>
      <c r="D10">
        <v>1</v>
      </c>
      <c r="E10" s="8">
        <f>WORKDAY(MAX(F4),1,Holidays!A:A)</f>
        <v>44343</v>
      </c>
      <c r="F10" s="8">
        <f>WORKDAY(E10,D10,Holidays!A:A)</f>
        <v>44344</v>
      </c>
    </row>
    <row r="11" spans="1:6" x14ac:dyDescent="0.15">
      <c r="A11">
        <v>7</v>
      </c>
      <c r="B11" t="s">
        <v>38</v>
      </c>
      <c r="C11">
        <v>6</v>
      </c>
      <c r="D11">
        <v>1</v>
      </c>
      <c r="E11" s="8">
        <f>WORKDAY(MAX(F10),1,Holidays!A:A)</f>
        <v>44347</v>
      </c>
      <c r="F11" s="8">
        <f>WORKDAY(E11,D11,Holidays!A:A)</f>
        <v>44348</v>
      </c>
    </row>
    <row r="12" spans="1:6" x14ac:dyDescent="0.15">
      <c r="A12">
        <v>8</v>
      </c>
      <c r="B12" t="s">
        <v>39</v>
      </c>
      <c r="C12">
        <v>0</v>
      </c>
      <c r="D12">
        <v>1</v>
      </c>
      <c r="E12" s="8">
        <f>WORKDAY(MAX(F4),1,Holidays!A:A)</f>
        <v>44343</v>
      </c>
      <c r="F12" s="8">
        <f>WORKDAY(E12,D12,Holidays!A:A)</f>
        <v>44344</v>
      </c>
    </row>
    <row r="13" spans="1:6" x14ac:dyDescent="0.15">
      <c r="A13">
        <v>9</v>
      </c>
      <c r="B13" t="s">
        <v>40</v>
      </c>
      <c r="C13">
        <v>0</v>
      </c>
      <c r="D13">
        <v>1</v>
      </c>
      <c r="E13" s="8">
        <f>WORKDAY(MAX(F4),1,Holidays!A:A)</f>
        <v>44343</v>
      </c>
      <c r="F13" s="8">
        <f>WORKDAY(E13,D13,Holidays!A:A)</f>
        <v>44344</v>
      </c>
    </row>
    <row r="14" spans="1:6" x14ac:dyDescent="0.15">
      <c r="A14">
        <v>10</v>
      </c>
      <c r="B14" t="s">
        <v>41</v>
      </c>
      <c r="C14">
        <v>0</v>
      </c>
      <c r="D14">
        <v>1</v>
      </c>
      <c r="E14" s="8">
        <f>WORKDAY(MAX(F4),1,Holidays!A:A)</f>
        <v>44343</v>
      </c>
      <c r="F14" s="8">
        <f>WORKDAY(E14,D14,Holidays!A:A)</f>
        <v>44344</v>
      </c>
    </row>
    <row r="15" spans="1:6" x14ac:dyDescent="0.15">
      <c r="A15">
        <v>11</v>
      </c>
      <c r="B15" t="s">
        <v>42</v>
      </c>
      <c r="C15">
        <v>10</v>
      </c>
      <c r="D15">
        <v>1</v>
      </c>
      <c r="E15" s="8">
        <f>WORKDAY(MAX(F14),1,Holidays!A:A)</f>
        <v>44347</v>
      </c>
      <c r="F15" s="8">
        <f>WORKDAY(E15,D15,Holidays!A:A)</f>
        <v>44348</v>
      </c>
    </row>
    <row r="16" spans="1:6" x14ac:dyDescent="0.15">
      <c r="A16">
        <v>12</v>
      </c>
      <c r="B16" t="s">
        <v>43</v>
      </c>
      <c r="C16">
        <v>11</v>
      </c>
      <c r="D16">
        <v>1</v>
      </c>
      <c r="E16" s="8">
        <f>WORKDAY(MAX(F15),1,Holidays!A:A)</f>
        <v>44349</v>
      </c>
      <c r="F16" s="8">
        <f>WORKDAY(E16,D16,Holidays!A:A)</f>
        <v>44350</v>
      </c>
    </row>
    <row r="17" spans="1:6" x14ac:dyDescent="0.15">
      <c r="A17">
        <v>13</v>
      </c>
      <c r="B17" t="s">
        <v>44</v>
      </c>
      <c r="C17">
        <v>12</v>
      </c>
      <c r="D17">
        <v>1</v>
      </c>
      <c r="E17" s="8">
        <f>WORKDAY(MAX(F16),1,Holidays!A:A)</f>
        <v>44351</v>
      </c>
      <c r="F17" s="8">
        <f>WORKDAY(E17,D17,Holidays!A:A)</f>
        <v>44354</v>
      </c>
    </row>
    <row r="18" spans="1:6" x14ac:dyDescent="0.15">
      <c r="A18">
        <v>14</v>
      </c>
      <c r="B18" t="s">
        <v>45</v>
      </c>
      <c r="C18" t="s">
        <v>46</v>
      </c>
      <c r="D18">
        <v>1</v>
      </c>
      <c r="E18" s="8">
        <f>WORKDAY(MAX(F7,F8,F9,F11,F12,F13,F17),1,Holidays!A:A)</f>
        <v>44355</v>
      </c>
      <c r="F18" s="8">
        <f>WORKDAY(E18,D18,Holidays!A:A)</f>
        <v>44356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2021-05-25T12:48:17Z</dcterms:modified>
</cp:coreProperties>
</file>