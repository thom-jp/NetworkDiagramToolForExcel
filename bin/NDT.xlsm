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6" i="3" s="1"/>
  <c r="F16" i="3" s="1"/>
  <c r="E17" i="3" s="1"/>
  <c r="F17" i="3" s="1"/>
  <c r="E13" i="3" l="1"/>
  <c r="F13" i="3" s="1"/>
  <c r="E14" i="3" s="1"/>
  <c r="F14" i="3" s="1"/>
  <c r="E5" i="3"/>
  <c r="F5" i="3" s="1"/>
  <c r="E6" i="3" s="1"/>
  <c r="F6" i="3" s="1"/>
  <c r="E7" i="3" s="1"/>
  <c r="F7" i="3" s="1"/>
  <c r="E8" i="3" s="1"/>
  <c r="F8" i="3" s="1"/>
  <c r="E18" i="3" s="1"/>
  <c r="F18" i="3" s="1"/>
  <c r="E9" i="3"/>
  <c r="F9" i="3" s="1"/>
  <c r="E10" i="3" s="1"/>
  <c r="F10" i="3" s="1"/>
  <c r="E11" i="3" s="1"/>
  <c r="F11" i="3" s="1"/>
  <c r="E12" i="3" s="1"/>
  <c r="F12" i="3" s="1"/>
  <c r="E15" i="3"/>
  <c r="F15" i="3" s="1"/>
</calcChain>
</file>

<file path=xl/sharedStrings.xml><?xml version="1.0" encoding="utf-8"?>
<sst xmlns="http://schemas.openxmlformats.org/spreadsheetml/2006/main" count="43" uniqueCount="43">
  <si>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</si>
  <si>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</si>
  <si>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</si>
  <si>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</si>
  <si>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</si>
  <si>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</si>
  <si>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</si>
  <si>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</si>
  <si>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</si>
  <si>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</si>
  <si>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</si>
  <si>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</si>
  <si>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</si>
  <si>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</si>
  <si>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</si>
  <si>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</si>
  <si>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</si>
  <si>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</si>
  <si>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</si>
  <si>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</si>
  <si>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</si>
  <si>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</si>
  <si>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</si>
  <si>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</si>
  <si>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</si>
  <si>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</si>
  <si>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</si>
  <si>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</si>
  <si>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</si>
  <si>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</si>
  <si>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</si>
  <si>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</si>
  <si>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</si>
  <si>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</si>
  <si>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</si>
  <si>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</si>
  <si>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</si>
  <si>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</si>
  <si>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</si>
  <si>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</si>
  <si>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</si>
  <si>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4,8,10,11,13</t>
  </si>
  <si>
    <t>Number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</si>
</sst>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762000</xdr:colOff>
      <xdr:row>11</xdr:row>
      <xdr:rowOff>164353</xdr:rowOff>
    </xdr:from>
    <xdr:to>
      <xdr:col>0</xdr:col>
      <xdr:colOff>1524000</xdr:colOff>
      <xdr:row>16</xdr:row>
      <xdr:rowOff>85912</xdr:rowOff>
    </xdr:to>
    <xdr:sp macro="" textlink="">
      <xdr:nvSpPr>
        <xdr:cNvPr id="17" name="円/楕円 16"/>
        <xdr:cNvSpPr/>
      </xdr:nvSpPr>
      <xdr:spPr>
        <a:xfrm>
          <a:off x="76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START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1651000</xdr:colOff>
      <xdr:row>11</xdr:row>
      <xdr:rowOff>164353</xdr:rowOff>
    </xdr:from>
    <xdr:to>
      <xdr:col>1</xdr:col>
      <xdr:colOff>474382</xdr:colOff>
      <xdr:row>16</xdr:row>
      <xdr:rowOff>85912</xdr:rowOff>
    </xdr:to>
    <xdr:sp macro="" textlink="">
      <xdr:nvSpPr>
        <xdr:cNvPr id="18" name="円/楕円 17"/>
        <xdr:cNvSpPr/>
      </xdr:nvSpPr>
      <xdr:spPr>
        <a:xfrm>
          <a:off x="165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床のモノを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片付ける</a:t>
          </a:r>
        </a:p>
      </xdr:txBody>
    </xdr:sp>
    <xdr:clientData/>
  </xdr:twoCellAnchor>
  <xdr:twoCellAnchor>
    <xdr:from>
      <xdr:col>1</xdr:col>
      <xdr:colOff>601382</xdr:colOff>
      <xdr:row>11</xdr:row>
      <xdr:rowOff>164353</xdr:rowOff>
    </xdr:from>
    <xdr:to>
      <xdr:col>1</xdr:col>
      <xdr:colOff>1363382</xdr:colOff>
      <xdr:row>16</xdr:row>
      <xdr:rowOff>85912</xdr:rowOff>
    </xdr:to>
    <xdr:sp macro="" textlink="">
      <xdr:nvSpPr>
        <xdr:cNvPr id="19" name="円/楕円 18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床掃除ロボ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ット実行</a:t>
          </a:r>
        </a:p>
      </xdr:txBody>
    </xdr:sp>
    <xdr:clientData/>
  </xdr:twoCellAnchor>
  <xdr:twoCellAnchor>
    <xdr:from>
      <xdr:col>1</xdr:col>
      <xdr:colOff>1490382</xdr:colOff>
      <xdr:row>11</xdr:row>
      <xdr:rowOff>164353</xdr:rowOff>
    </xdr:from>
    <xdr:to>
      <xdr:col>2</xdr:col>
      <xdr:colOff>437029</xdr:colOff>
      <xdr:row>16</xdr:row>
      <xdr:rowOff>85912</xdr:rowOff>
    </xdr:to>
    <xdr:sp macro="" textlink="">
      <xdr:nvSpPr>
        <xdr:cNvPr id="20" name="円/楕円 19"/>
        <xdr:cNvSpPr/>
      </xdr:nvSpPr>
      <xdr:spPr>
        <a:xfrm>
          <a:off x="342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衣類の在庫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確認</a:t>
          </a:r>
        </a:p>
      </xdr:txBody>
    </xdr:sp>
    <xdr:clientData/>
  </xdr:twoCellAnchor>
  <xdr:twoCellAnchor>
    <xdr:from>
      <xdr:col>2</xdr:col>
      <xdr:colOff>564029</xdr:colOff>
      <xdr:row>11</xdr:row>
      <xdr:rowOff>164353</xdr:rowOff>
    </xdr:from>
    <xdr:to>
      <xdr:col>2</xdr:col>
      <xdr:colOff>1326029</xdr:colOff>
      <xdr:row>16</xdr:row>
      <xdr:rowOff>85912</xdr:rowOff>
    </xdr:to>
    <xdr:sp macro="" textlink="">
      <xdr:nvSpPr>
        <xdr:cNvPr id="21" name="円/楕円 20"/>
        <xdr:cNvSpPr/>
      </xdr:nvSpPr>
      <xdr:spPr>
        <a:xfrm>
          <a:off x="431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1453029</xdr:colOff>
      <xdr:row>11</xdr:row>
      <xdr:rowOff>164353</xdr:rowOff>
    </xdr:from>
    <xdr:to>
      <xdr:col>2</xdr:col>
      <xdr:colOff>2215029</xdr:colOff>
      <xdr:row>16</xdr:row>
      <xdr:rowOff>85912</xdr:rowOff>
    </xdr:to>
    <xdr:sp macro="" textlink="">
      <xdr:nvSpPr>
        <xdr:cNvPr id="22" name="円/楕円 21"/>
        <xdr:cNvSpPr/>
      </xdr:nvSpPr>
      <xdr:spPr>
        <a:xfrm>
          <a:off x="5207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2342029</xdr:colOff>
      <xdr:row>11</xdr:row>
      <xdr:rowOff>164353</xdr:rowOff>
    </xdr:from>
    <xdr:to>
      <xdr:col>2</xdr:col>
      <xdr:colOff>3104029</xdr:colOff>
      <xdr:row>16</xdr:row>
      <xdr:rowOff>85912</xdr:rowOff>
    </xdr:to>
    <xdr:sp macro="" textlink="">
      <xdr:nvSpPr>
        <xdr:cNvPr id="23" name="円/楕円 22"/>
        <xdr:cNvSpPr/>
      </xdr:nvSpPr>
      <xdr:spPr>
        <a:xfrm>
          <a:off x="6096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干す</a:t>
          </a:r>
        </a:p>
      </xdr:txBody>
    </xdr:sp>
    <xdr:clientData/>
  </xdr:twoCellAnchor>
  <xdr:twoCellAnchor>
    <xdr:from>
      <xdr:col>2</xdr:col>
      <xdr:colOff>3231029</xdr:colOff>
      <xdr:row>11</xdr:row>
      <xdr:rowOff>164353</xdr:rowOff>
    </xdr:from>
    <xdr:to>
      <xdr:col>3</xdr:col>
      <xdr:colOff>485588</xdr:colOff>
      <xdr:row>16</xdr:row>
      <xdr:rowOff>85912</xdr:rowOff>
    </xdr:to>
    <xdr:sp macro="" textlink="">
      <xdr:nvSpPr>
        <xdr:cNvPr id="24" name="円/楕円 23"/>
        <xdr:cNvSpPr/>
      </xdr:nvSpPr>
      <xdr:spPr>
        <a:xfrm>
          <a:off x="6985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机の掃除</a:t>
          </a:r>
        </a:p>
      </xdr:txBody>
    </xdr:sp>
    <xdr:clientData/>
  </xdr:twoCellAnchor>
  <xdr:twoCellAnchor>
    <xdr:from>
      <xdr:col>3</xdr:col>
      <xdr:colOff>612588</xdr:colOff>
      <xdr:row>11</xdr:row>
      <xdr:rowOff>164353</xdr:rowOff>
    </xdr:from>
    <xdr:to>
      <xdr:col>3</xdr:col>
      <xdr:colOff>1374588</xdr:colOff>
      <xdr:row>16</xdr:row>
      <xdr:rowOff>85912</xdr:rowOff>
    </xdr:to>
    <xdr:sp macro="" textlink="">
      <xdr:nvSpPr>
        <xdr:cNvPr id="25" name="円/楕円 24"/>
        <xdr:cNvSpPr/>
      </xdr:nvSpPr>
      <xdr:spPr>
        <a:xfrm>
          <a:off x="7874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ゴミ捨て</a:t>
          </a:r>
        </a:p>
      </xdr:txBody>
    </xdr:sp>
    <xdr:clientData/>
  </xdr:twoCellAnchor>
  <xdr:twoCellAnchor>
    <xdr:from>
      <xdr:col>3</xdr:col>
      <xdr:colOff>1501588</xdr:colOff>
      <xdr:row>11</xdr:row>
      <xdr:rowOff>164353</xdr:rowOff>
    </xdr:from>
    <xdr:to>
      <xdr:col>4</xdr:col>
      <xdr:colOff>493059</xdr:colOff>
      <xdr:row>16</xdr:row>
      <xdr:rowOff>85912</xdr:rowOff>
    </xdr:to>
    <xdr:sp macro="" textlink="">
      <xdr:nvSpPr>
        <xdr:cNvPr id="26" name="円/楕円 25"/>
        <xdr:cNvSpPr/>
      </xdr:nvSpPr>
      <xdr:spPr>
        <a:xfrm>
          <a:off x="8763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消耗品チェ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ック</a:t>
          </a:r>
        </a:p>
      </xdr:txBody>
    </xdr:sp>
    <xdr:clientData/>
  </xdr:twoCellAnchor>
  <xdr:twoCellAnchor>
    <xdr:from>
      <xdr:col>4</xdr:col>
      <xdr:colOff>620059</xdr:colOff>
      <xdr:row>11</xdr:row>
      <xdr:rowOff>164353</xdr:rowOff>
    </xdr:from>
    <xdr:to>
      <xdr:col>4</xdr:col>
      <xdr:colOff>1382059</xdr:colOff>
      <xdr:row>16</xdr:row>
      <xdr:rowOff>85912</xdr:rowOff>
    </xdr:to>
    <xdr:sp macro="" textlink="">
      <xdr:nvSpPr>
        <xdr:cNvPr id="27" name="円/楕円 26"/>
        <xdr:cNvSpPr/>
      </xdr:nvSpPr>
      <xdr:spPr>
        <a:xfrm>
          <a:off x="965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消耗品発注</a:t>
          </a:r>
        </a:p>
      </xdr:txBody>
    </xdr:sp>
    <xdr:clientData/>
  </xdr:twoCellAnchor>
  <xdr:twoCellAnchor>
    <xdr:from>
      <xdr:col>4</xdr:col>
      <xdr:colOff>1509059</xdr:colOff>
      <xdr:row>11</xdr:row>
      <xdr:rowOff>164353</xdr:rowOff>
    </xdr:from>
    <xdr:to>
      <xdr:col>5</xdr:col>
      <xdr:colOff>545353</xdr:colOff>
      <xdr:row>16</xdr:row>
      <xdr:rowOff>85912</xdr:rowOff>
    </xdr:to>
    <xdr:sp macro="" textlink="">
      <xdr:nvSpPr>
        <xdr:cNvPr id="28" name="円/楕円 27"/>
        <xdr:cNvSpPr/>
      </xdr:nvSpPr>
      <xdr:spPr>
        <a:xfrm>
          <a:off x="1054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5</xdr:col>
      <xdr:colOff>672353</xdr:colOff>
      <xdr:row>11</xdr:row>
      <xdr:rowOff>164353</xdr:rowOff>
    </xdr:from>
    <xdr:to>
      <xdr:col>7</xdr:col>
      <xdr:colOff>67235</xdr:colOff>
      <xdr:row>16</xdr:row>
      <xdr:rowOff>85912</xdr:rowOff>
    </xdr:to>
    <xdr:sp macro="" textlink="">
      <xdr:nvSpPr>
        <xdr:cNvPr id="29" name="円/楕円 28"/>
        <xdr:cNvSpPr/>
      </xdr:nvSpPr>
      <xdr:spPr>
        <a:xfrm>
          <a:off x="1143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風呂掃除</a:t>
          </a:r>
        </a:p>
      </xdr:txBody>
    </xdr:sp>
    <xdr:clientData/>
  </xdr:twoCellAnchor>
  <xdr:twoCellAnchor>
    <xdr:from>
      <xdr:col>7</xdr:col>
      <xdr:colOff>194235</xdr:colOff>
      <xdr:row>11</xdr:row>
      <xdr:rowOff>164353</xdr:rowOff>
    </xdr:from>
    <xdr:to>
      <xdr:col>8</xdr:col>
      <xdr:colOff>272676</xdr:colOff>
      <xdr:row>16</xdr:row>
      <xdr:rowOff>85912</xdr:rowOff>
    </xdr:to>
    <xdr:sp macro="" textlink="">
      <xdr:nvSpPr>
        <xdr:cNvPr id="30" name="円/楕円 29"/>
        <xdr:cNvSpPr/>
      </xdr:nvSpPr>
      <xdr:spPr>
        <a:xfrm>
          <a:off x="1231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トイレ掃除</a:t>
          </a:r>
        </a:p>
      </xdr:txBody>
    </xdr:sp>
    <xdr:clientData/>
  </xdr:twoCellAnchor>
  <xdr:twoCellAnchor>
    <xdr:from>
      <xdr:col>8</xdr:col>
      <xdr:colOff>399676</xdr:colOff>
      <xdr:row>11</xdr:row>
      <xdr:rowOff>164353</xdr:rowOff>
    </xdr:from>
    <xdr:to>
      <xdr:col>9</xdr:col>
      <xdr:colOff>478118</xdr:colOff>
      <xdr:row>16</xdr:row>
      <xdr:rowOff>85912</xdr:rowOff>
    </xdr:to>
    <xdr:sp macro="" textlink="">
      <xdr:nvSpPr>
        <xdr:cNvPr id="31" name="円/楕円 30"/>
        <xdr:cNvSpPr/>
      </xdr:nvSpPr>
      <xdr:spPr>
        <a:xfrm>
          <a:off x="1320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tabSelected="1" workbookViewId="0"/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39</v>
      </c>
    </row>
    <row r="3" spans="1:1" x14ac:dyDescent="0.15">
      <c r="A3" s="3" t="s">
        <v>40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14</v>
      </c>
    </row>
    <row r="13" spans="1:1" x14ac:dyDescent="0.15">
      <c r="A13" t="s">
        <v>15</v>
      </c>
    </row>
    <row r="14" spans="1:1" x14ac:dyDescent="0.15">
      <c r="A14" t="s">
        <v>16</v>
      </c>
    </row>
    <row r="15" spans="1:1" x14ac:dyDescent="0.15">
      <c r="A15" t="s">
        <v>12</v>
      </c>
    </row>
    <row r="16" spans="1:1" x14ac:dyDescent="0.15">
      <c r="A16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42</v>
      </c>
      <c r="E1" s="7" t="s">
        <v>11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22</v>
      </c>
    </row>
    <row r="3" spans="1:6" x14ac:dyDescent="0.15">
      <c r="A3" s="3" t="s">
        <v>17</v>
      </c>
      <c r="B3" s="3" t="s">
        <v>18</v>
      </c>
      <c r="C3" s="3" t="s">
        <v>21</v>
      </c>
      <c r="D3" s="3" t="s">
        <v>38</v>
      </c>
      <c r="E3" s="3" t="s">
        <v>19</v>
      </c>
      <c r="F3" s="3" t="s">
        <v>20</v>
      </c>
    </row>
    <row r="4" spans="1:6" x14ac:dyDescent="0.15">
      <c r="A4">
        <v>0</v>
      </c>
      <c r="B4" t="s">
        <v>23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24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27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25</v>
      </c>
      <c r="C7">
        <v>2</v>
      </c>
      <c r="D7">
        <v>1</v>
      </c>
      <c r="E7" s="8">
        <f>WORKDAY(MAX(F6),1,Holidays!A:A)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26</v>
      </c>
      <c r="C8">
        <v>3</v>
      </c>
      <c r="D8">
        <v>1</v>
      </c>
      <c r="E8" s="8">
        <f>WORKDAY(MAX(F7),1,Holidays!A:A)</f>
        <v>44351</v>
      </c>
      <c r="F8" s="8">
        <f>WORKDAY(E8,D8,Holidays!A:A)</f>
        <v>44354</v>
      </c>
    </row>
    <row r="9" spans="1:6" x14ac:dyDescent="0.15">
      <c r="A9">
        <v>5</v>
      </c>
      <c r="B9" t="s">
        <v>33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34</v>
      </c>
      <c r="C10">
        <v>5</v>
      </c>
      <c r="D10">
        <v>1</v>
      </c>
      <c r="E10" s="8">
        <f>WORKDAY(MAX(F9),1,Holidays!A:A)</f>
        <v>44347</v>
      </c>
      <c r="F10" s="8">
        <f>WORKDAY(E10,D10,Holidays!A:A)</f>
        <v>44348</v>
      </c>
    </row>
    <row r="11" spans="1:6" x14ac:dyDescent="0.15">
      <c r="A11">
        <v>7</v>
      </c>
      <c r="B11" t="s">
        <v>35</v>
      </c>
      <c r="C11">
        <v>6</v>
      </c>
      <c r="D11">
        <v>1</v>
      </c>
      <c r="E11" s="8">
        <f>WORKDAY(MAX(F10),1,Holidays!A:A)</f>
        <v>44349</v>
      </c>
      <c r="F11" s="8">
        <f>WORKDAY(E11,D11,Holidays!A:A)</f>
        <v>44350</v>
      </c>
    </row>
    <row r="12" spans="1:6" x14ac:dyDescent="0.15">
      <c r="A12">
        <v>8</v>
      </c>
      <c r="B12" t="s">
        <v>36</v>
      </c>
      <c r="C12">
        <v>7</v>
      </c>
      <c r="D12">
        <v>1</v>
      </c>
      <c r="E12" s="8">
        <f>WORKDAY(MAX(F11),1,Holidays!A:A)</f>
        <v>44351</v>
      </c>
      <c r="F12" s="8">
        <f>WORKDAY(E12,D12,Holidays!A:A)</f>
        <v>44354</v>
      </c>
    </row>
    <row r="13" spans="1:6" x14ac:dyDescent="0.15">
      <c r="A13">
        <v>9</v>
      </c>
      <c r="B13" t="s">
        <v>29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30</v>
      </c>
      <c r="C14">
        <v>9</v>
      </c>
      <c r="D14">
        <v>1</v>
      </c>
      <c r="E14" s="8">
        <f>WORKDAY(MAX(F13),1,Holidays!A:A)</f>
        <v>44347</v>
      </c>
      <c r="F14" s="8">
        <f>WORKDAY(E14,D14,Holidays!A:A)</f>
        <v>44348</v>
      </c>
    </row>
    <row r="15" spans="1:6" x14ac:dyDescent="0.15">
      <c r="A15">
        <v>11</v>
      </c>
      <c r="B15" t="s">
        <v>31</v>
      </c>
      <c r="C15">
        <v>0</v>
      </c>
      <c r="D15">
        <v>1</v>
      </c>
      <c r="E15" s="8">
        <f>WORKDAY(MAX(F4),1,Holidays!A:A)</f>
        <v>44343</v>
      </c>
      <c r="F15" s="8">
        <f>WORKDAY(E15,D15,Holidays!A:A)</f>
        <v>44344</v>
      </c>
    </row>
    <row r="16" spans="1:6" x14ac:dyDescent="0.15">
      <c r="A16">
        <v>12</v>
      </c>
      <c r="B16" t="s">
        <v>32</v>
      </c>
      <c r="C16">
        <v>0</v>
      </c>
      <c r="D16">
        <v>1</v>
      </c>
      <c r="E16" s="8">
        <f>WORKDAY(MAX(F4),1,Holidays!A:A)</f>
        <v>44343</v>
      </c>
      <c r="F16" s="8">
        <f>WORKDAY(E16,D16,Holidays!A:A)</f>
        <v>44344</v>
      </c>
    </row>
    <row r="17" spans="1:6" x14ac:dyDescent="0.15">
      <c r="A17">
        <v>13</v>
      </c>
      <c r="B17" t="s">
        <v>28</v>
      </c>
      <c r="C17">
        <v>12</v>
      </c>
      <c r="D17">
        <v>1</v>
      </c>
      <c r="E17" s="8">
        <f>WORKDAY(MAX(F16),1,Holidays!A:A)</f>
        <v>44347</v>
      </c>
      <c r="F17" s="8">
        <f>WORKDAY(E17,D17,Holidays!A:A)</f>
        <v>44348</v>
      </c>
    </row>
    <row r="18" spans="1:6" x14ac:dyDescent="0.15">
      <c r="A18">
        <v>14</v>
      </c>
      <c r="B18" t="s">
        <v>37</v>
      </c>
      <c r="C18" t="s">
        <v>41</v>
      </c>
      <c r="D18">
        <v>1</v>
      </c>
      <c r="E18" s="8">
        <f>WORKDAY(MAX(F8,F12,F14,F15,F17),1,Holidays!A:A)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2021-05-27T14:05:45Z</dcterms:modified>
</cp:coreProperties>
</file>