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ho_\OneDrive\dev\NetworkDiagramToolForExcel\bin\"/>
    </mc:Choice>
  </mc:AlternateContent>
  <bookViews>
    <workbookView xWindow="0" yWindow="0" windowWidth="17895" windowHeight="8490" activeTab="1"/>
  </bookViews>
  <sheets>
    <sheet name="Schedule" sheetId="3" r:id="rId1"/>
    <sheet name="Draw" sheetId="1" r:id="rId2"/>
    <sheet name="Holidays" sheetId="4" r:id="rId3"/>
  </sheets>
  <functionGroups builtInGroupCount="18"/>
  <definedNames>
    <definedName name="_xlnm._FilterDatabase" localSheetId="0" hidden="1">Schedule!$A$3:$J$11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5" i="3" l="1"/>
  <c r="F5" i="3" s="1"/>
  <c r="F4" i="3"/>
  <c r="E6" i="3" l="1"/>
  <c r="F6" i="3" s="1"/>
  <c r="E7" i="3" s="1"/>
  <c r="F7" i="3" s="1"/>
  <c r="E8" i="3" l="1"/>
  <c r="F8" i="3" s="1"/>
  <c r="E9" i="3" s="1"/>
  <c r="F9" i="3" s="1"/>
  <c r="E10" i="3" l="1"/>
  <c r="F10" i="3" s="1"/>
  <c r="E11" i="3" s="1"/>
  <c r="F11" i="3" s="1"/>
</calcChain>
</file>

<file path=xl/sharedStrings.xml><?xml version="1.0" encoding="utf-8"?>
<sst xmlns="http://schemas.openxmlformats.org/spreadsheetml/2006/main" count="37" uniqueCount="37">
  <si>
    <t>Initiate</t>
    <phoneticPr fontId="1"/>
  </si>
  <si>
    <t>Locate</t>
    <phoneticPr fontId="1"/>
  </si>
  <si>
    <t>Connect</t>
    <phoneticPr fontId="1"/>
  </si>
  <si>
    <t>Remove</t>
    <phoneticPr fontId="1"/>
  </si>
  <si>
    <t>No</t>
    <phoneticPr fontId="1"/>
  </si>
  <si>
    <t>Task Name</t>
    <phoneticPr fontId="1"/>
  </si>
  <si>
    <t>Planned Start</t>
    <phoneticPr fontId="1"/>
  </si>
  <si>
    <t>Planned End</t>
    <phoneticPr fontId="1"/>
  </si>
  <si>
    <t>Dependency</t>
    <phoneticPr fontId="1"/>
  </si>
  <si>
    <t>Schedule</t>
    <phoneticPr fontId="1"/>
  </si>
  <si>
    <t>Duration</t>
    <phoneticPr fontId="1"/>
  </si>
  <si>
    <t>Number</t>
    <phoneticPr fontId="1"/>
  </si>
  <si>
    <t>Assign To</t>
    <phoneticPr fontId="1"/>
  </si>
  <si>
    <t>Start Offset</t>
    <phoneticPr fontId="1"/>
  </si>
  <si>
    <t>Wait for day of the week</t>
    <phoneticPr fontId="1"/>
  </si>
  <si>
    <t>Shape Object Name</t>
    <phoneticPr fontId="1"/>
  </si>
  <si>
    <t>END</t>
    <phoneticPr fontId="1"/>
  </si>
  <si>
    <t>START</t>
    <phoneticPr fontId="1"/>
  </si>
  <si>
    <t>思いつくままにScheduleシートにタスクを追加</t>
    <phoneticPr fontId="1"/>
  </si>
  <si>
    <t>3,4</t>
    <phoneticPr fontId="1"/>
  </si>
  <si>
    <t>AAA</t>
    <phoneticPr fontId="1"/>
  </si>
  <si>
    <t>タスク同士をコネクトする</t>
    <phoneticPr fontId="1"/>
  </si>
  <si>
    <t>0,1</t>
    <phoneticPr fontId="1"/>
  </si>
  <si>
    <t>1,2</t>
    <phoneticPr fontId="1"/>
  </si>
  <si>
    <t>Drawシートでタスクをプロットして配置する</t>
    <phoneticPr fontId="1"/>
  </si>
  <si>
    <t>タスクのナンバリング</t>
    <phoneticPr fontId="1"/>
  </si>
  <si>
    <t>2,3</t>
    <phoneticPr fontId="1"/>
  </si>
  <si>
    <t>Scheduleシートにスケジュールをプロット</t>
    <phoneticPr fontId="1"/>
  </si>
  <si>
    <t>5,6</t>
  </si>
  <si>
    <t>Oval 1059</t>
    <phoneticPr fontId="1"/>
  </si>
  <si>
    <t>Oval 1060</t>
    <phoneticPr fontId="1"/>
  </si>
  <si>
    <t>Oval 1061</t>
    <phoneticPr fontId="1"/>
  </si>
  <si>
    <t>Oval 1062</t>
    <phoneticPr fontId="1"/>
  </si>
  <si>
    <t>Oval 1063</t>
    <phoneticPr fontId="1"/>
  </si>
  <si>
    <t>Oval 1064</t>
    <phoneticPr fontId="1"/>
  </si>
  <si>
    <t>Oval 1065</t>
    <phoneticPr fontId="1"/>
  </si>
  <si>
    <t>Oval 1066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</si>
</sst>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yyyy/m/d\ \(aaa\)"/>
  </numFmts>
  <fonts count="7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36"/>
      <color theme="0"/>
      <name val="ＭＳ Ｐゴシック"/>
      <family val="2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rgb="FF000000"/>
      <name val="Meiryo UI"/>
      <family val="3"/>
      <charset val="128"/>
    </font>
    <font>
      <b/>
      <sz val="11"/>
      <color theme="0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9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</borders>
  <cellStyleXfs count="1">
    <xf numFmtId="0" fontId="0" fillId="0" borderId="0">
      <alignment vertical="center"/>
    </xf>
  </cellStyleXfs>
  <cellXfs count="12">
    <xf numFmtId="0" fontId="0" fillId="0" borderId="0" xfId="0">
      <alignment vertical="center"/>
    </xf>
    <xf numFmtId="0" fontId="4" fillId="0" borderId="0" xfId="0" applyFont="1">
      <alignment vertical="center"/>
    </xf>
    <xf numFmtId="0" fontId="0" fillId="2" borderId="0" xfId="0" applyFill="1">
      <alignment vertical="center"/>
    </xf>
    <xf numFmtId="0" fontId="0" fillId="2" borderId="0" xfId="0" applyFill="1" applyBorder="1">
      <alignment vertical="center"/>
    </xf>
    <xf numFmtId="0" fontId="0" fillId="2" borderId="1" xfId="0" applyFill="1" applyBorder="1">
      <alignment vertical="center"/>
    </xf>
    <xf numFmtId="0" fontId="6" fillId="2" borderId="1" xfId="0" applyFont="1" applyFill="1" applyBorder="1" applyAlignment="1">
      <alignment horizontal="center" vertical="center"/>
    </xf>
    <xf numFmtId="14" fontId="0" fillId="0" borderId="0" xfId="0" applyNumberFormat="1">
      <alignment vertical="center"/>
    </xf>
    <xf numFmtId="0" fontId="2" fillId="3" borderId="0" xfId="0" applyFont="1" applyFill="1">
      <alignment vertical="center"/>
    </xf>
    <xf numFmtId="0" fontId="3" fillId="3" borderId="0" xfId="0" applyFont="1" applyFill="1">
      <alignment vertical="center"/>
    </xf>
    <xf numFmtId="0" fontId="0" fillId="0" borderId="0" xfId="0" applyAlignment="1">
      <alignment horizontal="right"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428625</xdr:colOff>
          <xdr:row>0</xdr:row>
          <xdr:rowOff>114300</xdr:rowOff>
        </xdr:from>
        <xdr:to>
          <xdr:col>3</xdr:col>
          <xdr:colOff>866775</xdr:colOff>
          <xdr:row>0</xdr:row>
          <xdr:rowOff>476250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Plot Schedule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1</xdr:row>
          <xdr:rowOff>76200</xdr:rowOff>
        </xdr:from>
        <xdr:to>
          <xdr:col>4</xdr:col>
          <xdr:colOff>1600200</xdr:colOff>
          <xdr:row>4</xdr:row>
          <xdr:rowOff>114300</xdr:rowOff>
        </xdr:to>
        <xdr:sp macro="" textlink="">
          <xdr:nvSpPr>
            <xdr:cNvPr id="1027" name="Btn_RemoveAllShapse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Remove All Shapes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295275</xdr:colOff>
          <xdr:row>1</xdr:row>
          <xdr:rowOff>85725</xdr:rowOff>
        </xdr:from>
        <xdr:to>
          <xdr:col>0</xdr:col>
          <xdr:colOff>1733550</xdr:colOff>
          <xdr:row>4</xdr:row>
          <xdr:rowOff>123825</xdr:rowOff>
        </xdr:to>
        <xdr:sp macro="" textlink="">
          <xdr:nvSpPr>
            <xdr:cNvPr id="1028" name="Btn_PlotTasks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Plot Tasks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171450</xdr:colOff>
          <xdr:row>1</xdr:row>
          <xdr:rowOff>66675</xdr:rowOff>
        </xdr:from>
        <xdr:to>
          <xdr:col>1</xdr:col>
          <xdr:colOff>1600200</xdr:colOff>
          <xdr:row>4</xdr:row>
          <xdr:rowOff>104775</xdr:rowOff>
        </xdr:to>
        <xdr:sp macro="" textlink="">
          <xdr:nvSpPr>
            <xdr:cNvPr id="1029" name="Btn_OrderNodeVertical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Order Node Vertical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1895475</xdr:colOff>
          <xdr:row>1</xdr:row>
          <xdr:rowOff>66675</xdr:rowOff>
        </xdr:from>
        <xdr:to>
          <xdr:col>2</xdr:col>
          <xdr:colOff>3333750</xdr:colOff>
          <xdr:row>4</xdr:row>
          <xdr:rowOff>104775</xdr:rowOff>
        </xdr:to>
        <xdr:sp macro="" textlink="">
          <xdr:nvSpPr>
            <xdr:cNvPr id="1030" name="Btn_FindDisconnection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Find Disconnection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209550</xdr:colOff>
          <xdr:row>1</xdr:row>
          <xdr:rowOff>66675</xdr:rowOff>
        </xdr:from>
        <xdr:to>
          <xdr:col>2</xdr:col>
          <xdr:colOff>1647825</xdr:colOff>
          <xdr:row>4</xdr:row>
          <xdr:rowOff>104775</xdr:rowOff>
        </xdr:to>
        <xdr:sp macro="" textlink="">
          <xdr:nvSpPr>
            <xdr:cNvPr id="1031" name="Btn_ConnectStreight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Connect Straight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209550</xdr:colOff>
          <xdr:row>5</xdr:row>
          <xdr:rowOff>47625</xdr:rowOff>
        </xdr:from>
        <xdr:to>
          <xdr:col>2</xdr:col>
          <xdr:colOff>1647825</xdr:colOff>
          <xdr:row>8</xdr:row>
          <xdr:rowOff>85725</xdr:rowOff>
        </xdr:to>
        <xdr:sp macro="" textlink="">
          <xdr:nvSpPr>
            <xdr:cNvPr id="1032" name="Btn_ConnectSplit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Connect Split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1895475</xdr:colOff>
          <xdr:row>5</xdr:row>
          <xdr:rowOff>47625</xdr:rowOff>
        </xdr:from>
        <xdr:to>
          <xdr:col>2</xdr:col>
          <xdr:colOff>3333750</xdr:colOff>
          <xdr:row>8</xdr:row>
          <xdr:rowOff>85725</xdr:rowOff>
        </xdr:to>
        <xdr:sp macro="" textlink="">
          <xdr:nvSpPr>
            <xdr:cNvPr id="1033" name="Btn_ConnectMarge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Connect Marge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171450</xdr:colOff>
          <xdr:row>5</xdr:row>
          <xdr:rowOff>47625</xdr:rowOff>
        </xdr:from>
        <xdr:to>
          <xdr:col>1</xdr:col>
          <xdr:colOff>1600200</xdr:colOff>
          <xdr:row>8</xdr:row>
          <xdr:rowOff>85725</xdr:rowOff>
        </xdr:to>
        <xdr:sp macro="" textlink="">
          <xdr:nvSpPr>
            <xdr:cNvPr id="1034" name="Btn_SwapNodeLocation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Swap Node Location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5</xdr:row>
          <xdr:rowOff>57150</xdr:rowOff>
        </xdr:from>
        <xdr:to>
          <xdr:col>4</xdr:col>
          <xdr:colOff>1600200</xdr:colOff>
          <xdr:row>8</xdr:row>
          <xdr:rowOff>95250</xdr:rowOff>
        </xdr:to>
        <xdr:sp macro="" textlink="">
          <xdr:nvSpPr>
            <xdr:cNvPr id="1035" name="Btn_RemoveConnections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Remove Connections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171450</xdr:colOff>
          <xdr:row>1</xdr:row>
          <xdr:rowOff>85725</xdr:rowOff>
        </xdr:from>
        <xdr:to>
          <xdr:col>3</xdr:col>
          <xdr:colOff>1609725</xdr:colOff>
          <xdr:row>4</xdr:row>
          <xdr:rowOff>114300</xdr:rowOff>
        </xdr:to>
        <xdr:sp macro="" textlink="">
          <xdr:nvSpPr>
            <xdr:cNvPr id="1036" name="Btn_NumberingNodes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Number Nodes as Selection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171450</xdr:colOff>
          <xdr:row>5</xdr:row>
          <xdr:rowOff>57150</xdr:rowOff>
        </xdr:from>
        <xdr:to>
          <xdr:col>3</xdr:col>
          <xdr:colOff>1609725</xdr:colOff>
          <xdr:row>8</xdr:row>
          <xdr:rowOff>95250</xdr:rowOff>
        </xdr:to>
        <xdr:sp macro="" textlink="">
          <xdr:nvSpPr>
            <xdr:cNvPr id="1037" name="Btn_DeNumberingAllNodes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Unnumber All Nodes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1079500</xdr:colOff>
      <xdr:row>17</xdr:row>
      <xdr:rowOff>63500</xdr:rowOff>
    </xdr:from>
    <xdr:to>
      <xdr:col>0</xdr:col>
      <xdr:colOff>1841500</xdr:colOff>
      <xdr:row>21</xdr:row>
      <xdr:rowOff>139700</xdr:rowOff>
    </xdr:to>
    <xdr:sp macro="" textlink="">
      <xdr:nvSpPr>
        <xdr:cNvPr id="1060" name="円/楕円 1059"/>
        <xdr:cNvSpPr/>
      </xdr:nvSpPr>
      <xdr:spPr>
        <a:xfrm>
          <a:off x="1079500" y="3121025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arn-CL" altLang="ja-JP" sz="1100">
              <a:solidFill>
                <a:srgbClr val="000000"/>
              </a:solidFill>
            </a:rPr>
            <a:t>0.STA</a:t>
          </a:r>
        </a:p>
        <a:p>
          <a:pPr algn="ctr"/>
          <a:r>
            <a:rPr kumimoji="1" lang="arn-CL" altLang="ja-JP" sz="1100">
              <a:solidFill>
                <a:srgbClr val="000000"/>
              </a:solidFill>
            </a:rPr>
            <a:t>RT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1</xdr:col>
      <xdr:colOff>606425</xdr:colOff>
      <xdr:row>11</xdr:row>
      <xdr:rowOff>130175</xdr:rowOff>
    </xdr:from>
    <xdr:to>
      <xdr:col>1</xdr:col>
      <xdr:colOff>1368425</xdr:colOff>
      <xdr:row>16</xdr:row>
      <xdr:rowOff>34925</xdr:rowOff>
    </xdr:to>
    <xdr:sp macro="" textlink="">
      <xdr:nvSpPr>
        <xdr:cNvPr id="1061" name="円/楕円 1060"/>
        <xdr:cNvSpPr/>
      </xdr:nvSpPr>
      <xdr:spPr>
        <a:xfrm>
          <a:off x="2540000" y="215900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arn-CL" altLang="ja-JP" sz="1100">
              <a:solidFill>
                <a:srgbClr val="000000"/>
              </a:solidFill>
            </a:rPr>
            <a:t>1.Dra</a:t>
          </a:r>
        </a:p>
        <a:p>
          <a:pPr algn="ctr"/>
          <a:r>
            <a:rPr kumimoji="1" lang="arn-CL" altLang="ja-JP" sz="1100">
              <a:solidFill>
                <a:srgbClr val="000000"/>
              </a:solidFill>
            </a:rPr>
            <a:t>w</a:t>
          </a:r>
          <a:r>
            <a:rPr kumimoji="1" lang="ja-JP" altLang="en-US" sz="1100">
              <a:solidFill>
                <a:srgbClr val="000000"/>
              </a:solidFill>
            </a:rPr>
            <a:t>シートで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タスクをプ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ロットして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配置する</a:t>
          </a:r>
        </a:p>
      </xdr:txBody>
    </xdr:sp>
    <xdr:clientData/>
  </xdr:twoCellAnchor>
  <xdr:twoCellAnchor>
    <xdr:from>
      <xdr:col>1</xdr:col>
      <xdr:colOff>606425</xdr:colOff>
      <xdr:row>17</xdr:row>
      <xdr:rowOff>117475</xdr:rowOff>
    </xdr:from>
    <xdr:to>
      <xdr:col>1</xdr:col>
      <xdr:colOff>1368425</xdr:colOff>
      <xdr:row>22</xdr:row>
      <xdr:rowOff>22225</xdr:rowOff>
    </xdr:to>
    <xdr:sp macro="" textlink="">
      <xdr:nvSpPr>
        <xdr:cNvPr id="1062" name="円/楕円 1061"/>
        <xdr:cNvSpPr/>
      </xdr:nvSpPr>
      <xdr:spPr>
        <a:xfrm>
          <a:off x="2540000" y="317500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2.</a:t>
          </a:r>
          <a:r>
            <a:rPr kumimoji="1" lang="ja-JP" altLang="en-US" sz="1100">
              <a:solidFill>
                <a:srgbClr val="000000"/>
              </a:solidFill>
            </a:rPr>
            <a:t>思いつく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ままに</a:t>
          </a:r>
          <a:r>
            <a:rPr kumimoji="1" lang="en-US" altLang="ja-JP" sz="1100">
              <a:solidFill>
                <a:srgbClr val="000000"/>
              </a:solidFill>
            </a:rPr>
            <a:t>Sch</a:t>
          </a:r>
        </a:p>
        <a:p>
          <a:pPr algn="ctr"/>
          <a:r>
            <a:rPr kumimoji="1" lang="en-US" altLang="ja-JP" sz="1100">
              <a:solidFill>
                <a:srgbClr val="000000"/>
              </a:solidFill>
            </a:rPr>
            <a:t>edule</a:t>
          </a:r>
          <a:r>
            <a:rPr kumimoji="1" lang="ja-JP" altLang="en-US" sz="1100">
              <a:solidFill>
                <a:srgbClr val="000000"/>
              </a:solidFill>
            </a:rPr>
            <a:t>シ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ートにタスク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を追加</a:t>
          </a:r>
        </a:p>
      </xdr:txBody>
    </xdr:sp>
    <xdr:clientData/>
  </xdr:twoCellAnchor>
  <xdr:twoCellAnchor>
    <xdr:from>
      <xdr:col>1</xdr:col>
      <xdr:colOff>606425</xdr:colOff>
      <xdr:row>23</xdr:row>
      <xdr:rowOff>104775</xdr:rowOff>
    </xdr:from>
    <xdr:to>
      <xdr:col>1</xdr:col>
      <xdr:colOff>1368425</xdr:colOff>
      <xdr:row>28</xdr:row>
      <xdr:rowOff>9525</xdr:rowOff>
    </xdr:to>
    <xdr:sp macro="" textlink="">
      <xdr:nvSpPr>
        <xdr:cNvPr id="1063" name="円/楕円 1062"/>
        <xdr:cNvSpPr/>
      </xdr:nvSpPr>
      <xdr:spPr>
        <a:xfrm>
          <a:off x="2540000" y="419100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3.</a:t>
          </a:r>
          <a:r>
            <a:rPr kumimoji="1" lang="ja-JP" altLang="en-US" sz="1100">
              <a:solidFill>
                <a:srgbClr val="000000"/>
              </a:solidFill>
            </a:rPr>
            <a:t>タスク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同士をコネ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クトする</a:t>
          </a:r>
        </a:p>
      </xdr:txBody>
    </xdr:sp>
    <xdr:clientData/>
  </xdr:twoCellAnchor>
  <xdr:twoCellAnchor>
    <xdr:from>
      <xdr:col>2</xdr:col>
      <xdr:colOff>25400</xdr:colOff>
      <xdr:row>14</xdr:row>
      <xdr:rowOff>92075</xdr:rowOff>
    </xdr:from>
    <xdr:to>
      <xdr:col>2</xdr:col>
      <xdr:colOff>787400</xdr:colOff>
      <xdr:row>18</xdr:row>
      <xdr:rowOff>168275</xdr:rowOff>
    </xdr:to>
    <xdr:sp macro="" textlink="">
      <xdr:nvSpPr>
        <xdr:cNvPr id="1064" name="円/楕円 1063"/>
        <xdr:cNvSpPr/>
      </xdr:nvSpPr>
      <xdr:spPr>
        <a:xfrm>
          <a:off x="3778250" y="263525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4.</a:t>
          </a:r>
          <a:r>
            <a:rPr kumimoji="1" lang="ja-JP" altLang="en-US" sz="1100">
              <a:solidFill>
                <a:srgbClr val="000000"/>
              </a:solidFill>
            </a:rPr>
            <a:t>タスク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のナンバリ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ング</a:t>
          </a:r>
        </a:p>
      </xdr:txBody>
    </xdr:sp>
    <xdr:clientData/>
  </xdr:twoCellAnchor>
  <xdr:twoCellAnchor>
    <xdr:from>
      <xdr:col>2</xdr:col>
      <xdr:colOff>25400</xdr:colOff>
      <xdr:row>20</xdr:row>
      <xdr:rowOff>79375</xdr:rowOff>
    </xdr:from>
    <xdr:to>
      <xdr:col>2</xdr:col>
      <xdr:colOff>787400</xdr:colOff>
      <xdr:row>24</xdr:row>
      <xdr:rowOff>155575</xdr:rowOff>
    </xdr:to>
    <xdr:sp macro="" textlink="">
      <xdr:nvSpPr>
        <xdr:cNvPr id="1065" name="円/楕円 1064"/>
        <xdr:cNvSpPr/>
      </xdr:nvSpPr>
      <xdr:spPr>
        <a:xfrm>
          <a:off x="3778250" y="365125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arn-CL" altLang="ja-JP" sz="1100">
              <a:solidFill>
                <a:srgbClr val="000000"/>
              </a:solidFill>
            </a:rPr>
            <a:t>5.Sch</a:t>
          </a:r>
        </a:p>
        <a:p>
          <a:pPr algn="ctr"/>
          <a:r>
            <a:rPr kumimoji="1" lang="arn-CL" altLang="ja-JP" sz="1100">
              <a:solidFill>
                <a:srgbClr val="000000"/>
              </a:solidFill>
            </a:rPr>
            <a:t>edule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シートにス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ケジュール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をプロット</a:t>
          </a:r>
        </a:p>
      </xdr:txBody>
    </xdr:sp>
    <xdr:clientData/>
  </xdr:twoCellAnchor>
  <xdr:twoCellAnchor>
    <xdr:from>
      <xdr:col>2</xdr:col>
      <xdr:colOff>1289050</xdr:colOff>
      <xdr:row>17</xdr:row>
      <xdr:rowOff>92075</xdr:rowOff>
    </xdr:from>
    <xdr:to>
      <xdr:col>2</xdr:col>
      <xdr:colOff>2051050</xdr:colOff>
      <xdr:row>21</xdr:row>
      <xdr:rowOff>168275</xdr:rowOff>
    </xdr:to>
    <xdr:sp macro="" textlink="">
      <xdr:nvSpPr>
        <xdr:cNvPr id="1066" name="円/楕円 1065"/>
        <xdr:cNvSpPr/>
      </xdr:nvSpPr>
      <xdr:spPr>
        <a:xfrm>
          <a:off x="5041900" y="314960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arn-CL" altLang="ja-JP" sz="1100">
              <a:solidFill>
                <a:srgbClr val="000000"/>
              </a:solidFill>
            </a:rPr>
            <a:t>6.AAA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2</xdr:col>
      <xdr:colOff>2178050</xdr:colOff>
      <xdr:row>17</xdr:row>
      <xdr:rowOff>92075</xdr:rowOff>
    </xdr:from>
    <xdr:to>
      <xdr:col>2</xdr:col>
      <xdr:colOff>2940050</xdr:colOff>
      <xdr:row>21</xdr:row>
      <xdr:rowOff>168275</xdr:rowOff>
    </xdr:to>
    <xdr:sp macro="" textlink="">
      <xdr:nvSpPr>
        <xdr:cNvPr id="1067" name="円/楕円 1066"/>
        <xdr:cNvSpPr/>
      </xdr:nvSpPr>
      <xdr:spPr>
        <a:xfrm>
          <a:off x="5930900" y="314960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arn-CL" altLang="ja-JP" sz="1100">
              <a:solidFill>
                <a:srgbClr val="000000"/>
              </a:solidFill>
            </a:rPr>
            <a:t>7.END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0</xdr:col>
      <xdr:colOff>1841500</xdr:colOff>
      <xdr:row>13</xdr:row>
      <xdr:rowOff>168275</xdr:rowOff>
    </xdr:from>
    <xdr:to>
      <xdr:col>1</xdr:col>
      <xdr:colOff>606425</xdr:colOff>
      <xdr:row>19</xdr:row>
      <xdr:rowOff>101600</xdr:rowOff>
    </xdr:to>
    <xdr:cxnSp macro="">
      <xdr:nvCxnSpPr>
        <xdr:cNvPr id="1070" name="直線矢印コネクタ 1069"/>
        <xdr:cNvCxnSpPr>
          <a:stCxn id="1060" idx="6"/>
          <a:endCxn id="1061" idx="2"/>
        </xdr:cNvCxnSpPr>
      </xdr:nvCxnSpPr>
      <xdr:spPr>
        <a:xfrm flipV="1">
          <a:off x="1841500" y="2540000"/>
          <a:ext cx="698500" cy="962025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1841500</xdr:colOff>
      <xdr:row>19</xdr:row>
      <xdr:rowOff>101600</xdr:rowOff>
    </xdr:from>
    <xdr:to>
      <xdr:col>1</xdr:col>
      <xdr:colOff>606425</xdr:colOff>
      <xdr:row>19</xdr:row>
      <xdr:rowOff>155575</xdr:rowOff>
    </xdr:to>
    <xdr:cxnSp macro="">
      <xdr:nvCxnSpPr>
        <xdr:cNvPr id="1071" name="直線矢印コネクタ 1070"/>
        <xdr:cNvCxnSpPr>
          <a:stCxn id="1060" idx="6"/>
          <a:endCxn id="1062" idx="2"/>
        </xdr:cNvCxnSpPr>
      </xdr:nvCxnSpPr>
      <xdr:spPr>
        <a:xfrm>
          <a:off x="1841500" y="3502025"/>
          <a:ext cx="698500" cy="53975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1841500</xdr:colOff>
      <xdr:row>19</xdr:row>
      <xdr:rowOff>101600</xdr:rowOff>
    </xdr:from>
    <xdr:to>
      <xdr:col>1</xdr:col>
      <xdr:colOff>606425</xdr:colOff>
      <xdr:row>25</xdr:row>
      <xdr:rowOff>142875</xdr:rowOff>
    </xdr:to>
    <xdr:cxnSp macro="">
      <xdr:nvCxnSpPr>
        <xdr:cNvPr id="1072" name="直線矢印コネクタ 1071"/>
        <xdr:cNvCxnSpPr>
          <a:stCxn id="1060" idx="6"/>
          <a:endCxn id="1063" idx="2"/>
        </xdr:cNvCxnSpPr>
      </xdr:nvCxnSpPr>
      <xdr:spPr>
        <a:xfrm>
          <a:off x="1841500" y="3502025"/>
          <a:ext cx="698500" cy="1069975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1368425</xdr:colOff>
      <xdr:row>16</xdr:row>
      <xdr:rowOff>130175</xdr:rowOff>
    </xdr:from>
    <xdr:to>
      <xdr:col>2</xdr:col>
      <xdr:colOff>25400</xdr:colOff>
      <xdr:row>19</xdr:row>
      <xdr:rowOff>155575</xdr:rowOff>
    </xdr:to>
    <xdr:cxnSp macro="">
      <xdr:nvCxnSpPr>
        <xdr:cNvPr id="1073" name="直線矢印コネクタ 1072"/>
        <xdr:cNvCxnSpPr>
          <a:stCxn id="1062" idx="6"/>
          <a:endCxn id="1064" idx="2"/>
        </xdr:cNvCxnSpPr>
      </xdr:nvCxnSpPr>
      <xdr:spPr>
        <a:xfrm flipV="1">
          <a:off x="3302000" y="3016250"/>
          <a:ext cx="476250" cy="53975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1368425</xdr:colOff>
      <xdr:row>19</xdr:row>
      <xdr:rowOff>155575</xdr:rowOff>
    </xdr:from>
    <xdr:to>
      <xdr:col>2</xdr:col>
      <xdr:colOff>25400</xdr:colOff>
      <xdr:row>22</xdr:row>
      <xdr:rowOff>117475</xdr:rowOff>
    </xdr:to>
    <xdr:cxnSp macro="">
      <xdr:nvCxnSpPr>
        <xdr:cNvPr id="1080" name="直線矢印コネクタ 1079"/>
        <xdr:cNvCxnSpPr>
          <a:stCxn id="1062" idx="6"/>
          <a:endCxn id="1065" idx="2"/>
        </xdr:cNvCxnSpPr>
      </xdr:nvCxnSpPr>
      <xdr:spPr>
        <a:xfrm>
          <a:off x="3302000" y="3556000"/>
          <a:ext cx="476250" cy="47625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1368425</xdr:colOff>
      <xdr:row>13</xdr:row>
      <xdr:rowOff>168275</xdr:rowOff>
    </xdr:from>
    <xdr:to>
      <xdr:col>2</xdr:col>
      <xdr:colOff>25400</xdr:colOff>
      <xdr:row>16</xdr:row>
      <xdr:rowOff>130175</xdr:rowOff>
    </xdr:to>
    <xdr:cxnSp macro="">
      <xdr:nvCxnSpPr>
        <xdr:cNvPr id="1082" name="直線矢印コネクタ 1081"/>
        <xdr:cNvCxnSpPr>
          <a:stCxn id="1061" idx="6"/>
          <a:endCxn id="1064" idx="2"/>
        </xdr:cNvCxnSpPr>
      </xdr:nvCxnSpPr>
      <xdr:spPr>
        <a:xfrm>
          <a:off x="3302000" y="2540000"/>
          <a:ext cx="476250" cy="47625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787400</xdr:colOff>
      <xdr:row>16</xdr:row>
      <xdr:rowOff>130175</xdr:rowOff>
    </xdr:from>
    <xdr:to>
      <xdr:col>2</xdr:col>
      <xdr:colOff>1289050</xdr:colOff>
      <xdr:row>19</xdr:row>
      <xdr:rowOff>130175</xdr:rowOff>
    </xdr:to>
    <xdr:cxnSp macro="">
      <xdr:nvCxnSpPr>
        <xdr:cNvPr id="1083" name="直線矢印コネクタ 1082"/>
        <xdr:cNvCxnSpPr>
          <a:stCxn id="1064" idx="6"/>
          <a:endCxn id="1066" idx="2"/>
        </xdr:cNvCxnSpPr>
      </xdr:nvCxnSpPr>
      <xdr:spPr>
        <a:xfrm>
          <a:off x="4540250" y="3016250"/>
          <a:ext cx="501650" cy="51435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1368425</xdr:colOff>
      <xdr:row>22</xdr:row>
      <xdr:rowOff>117475</xdr:rowOff>
    </xdr:from>
    <xdr:to>
      <xdr:col>2</xdr:col>
      <xdr:colOff>25400</xdr:colOff>
      <xdr:row>25</xdr:row>
      <xdr:rowOff>142875</xdr:rowOff>
    </xdr:to>
    <xdr:cxnSp macro="">
      <xdr:nvCxnSpPr>
        <xdr:cNvPr id="1084" name="直線矢印コネクタ 1083"/>
        <xdr:cNvCxnSpPr>
          <a:stCxn id="1063" idx="6"/>
          <a:endCxn id="1065" idx="2"/>
        </xdr:cNvCxnSpPr>
      </xdr:nvCxnSpPr>
      <xdr:spPr>
        <a:xfrm flipV="1">
          <a:off x="3302000" y="4032250"/>
          <a:ext cx="476250" cy="53975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787400</xdr:colOff>
      <xdr:row>19</xdr:row>
      <xdr:rowOff>130175</xdr:rowOff>
    </xdr:from>
    <xdr:to>
      <xdr:col>2</xdr:col>
      <xdr:colOff>1289050</xdr:colOff>
      <xdr:row>22</xdr:row>
      <xdr:rowOff>117475</xdr:rowOff>
    </xdr:to>
    <xdr:cxnSp macro="">
      <xdr:nvCxnSpPr>
        <xdr:cNvPr id="1085" name="直線矢印コネクタ 1084"/>
        <xdr:cNvCxnSpPr>
          <a:stCxn id="1065" idx="6"/>
          <a:endCxn id="1066" idx="2"/>
        </xdr:cNvCxnSpPr>
      </xdr:nvCxnSpPr>
      <xdr:spPr>
        <a:xfrm flipV="1">
          <a:off x="4540250" y="3530600"/>
          <a:ext cx="501650" cy="50165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2051050</xdr:colOff>
      <xdr:row>19</xdr:row>
      <xdr:rowOff>130175</xdr:rowOff>
    </xdr:from>
    <xdr:to>
      <xdr:col>2</xdr:col>
      <xdr:colOff>2178050</xdr:colOff>
      <xdr:row>19</xdr:row>
      <xdr:rowOff>130175</xdr:rowOff>
    </xdr:to>
    <xdr:cxnSp macro="">
      <xdr:nvCxnSpPr>
        <xdr:cNvPr id="1086" name="直線矢印コネクタ 1085"/>
        <xdr:cNvCxnSpPr>
          <a:stCxn id="1066" idx="6"/>
          <a:endCxn id="1067" idx="2"/>
        </xdr:cNvCxnSpPr>
      </xdr:nvCxnSpPr>
      <xdr:spPr>
        <a:xfrm>
          <a:off x="5803900" y="3530600"/>
          <a:ext cx="127000" cy="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cheduleSheet"/>
  <dimension ref="A1:L25"/>
  <sheetViews>
    <sheetView workbookViewId="0"/>
  </sheetViews>
  <sheetFormatPr defaultRowHeight="13.5" x14ac:dyDescent="0.15"/>
  <cols>
    <col min="1" max="1" width="3.75" bestFit="1" customWidth="1"/>
    <col min="2" max="2" width="39.5" bestFit="1" customWidth="1"/>
    <col min="3" max="3" width="13.125" style="9" bestFit="1" customWidth="1"/>
    <col min="4" max="4" width="9.5" bestFit="1" customWidth="1"/>
    <col min="5" max="6" width="15.625" bestFit="1" customWidth="1"/>
    <col min="7" max="7" width="20.75" bestFit="1" customWidth="1"/>
    <col min="8" max="8" width="10.75" bestFit="1" customWidth="1"/>
    <col min="9" max="9" width="13.125" bestFit="1" customWidth="1"/>
    <col min="10" max="10" width="25.875" bestFit="1" customWidth="1"/>
    <col min="11" max="11" width="13.625" bestFit="1" customWidth="1"/>
    <col min="12" max="12" width="14.75" bestFit="1" customWidth="1"/>
  </cols>
  <sheetData>
    <row r="1" spans="1:12" s="8" customFormat="1" ht="42" x14ac:dyDescent="0.15">
      <c r="A1" s="7" t="s">
        <v>9</v>
      </c>
    </row>
    <row r="2" spans="1:12" x14ac:dyDescent="0.15">
      <c r="C2"/>
    </row>
    <row r="3" spans="1:12" x14ac:dyDescent="0.15">
      <c r="A3" s="1" t="s">
        <v>4</v>
      </c>
      <c r="B3" s="1" t="s">
        <v>5</v>
      </c>
      <c r="C3" s="1" t="s">
        <v>8</v>
      </c>
      <c r="D3" s="1" t="s">
        <v>10</v>
      </c>
      <c r="E3" s="1" t="s">
        <v>6</v>
      </c>
      <c r="F3" s="1" t="s">
        <v>7</v>
      </c>
      <c r="G3" s="1" t="s">
        <v>15</v>
      </c>
      <c r="H3" s="1" t="s">
        <v>12</v>
      </c>
      <c r="I3" s="1" t="s">
        <v>13</v>
      </c>
      <c r="J3" s="1" t="s">
        <v>14</v>
      </c>
    </row>
    <row r="4" spans="1:12" x14ac:dyDescent="0.15">
      <c r="A4">
        <v>0</v>
      </c>
      <c r="B4" t="s">
        <v>17</v>
      </c>
      <c r="E4" s="11">
        <v>44346</v>
      </c>
      <c r="F4" s="11">
        <f>IF(ISBLANK(J4),WORKDAY(E4,D4,Holidays!A:A),E4+7-WEEKDAY(E4+7-J4))</f>
        <v>44346</v>
      </c>
      <c r="G4" t="s">
        <v>29</v>
      </c>
      <c r="J4" s="10"/>
      <c r="K4" s="11"/>
      <c r="L4" s="11"/>
    </row>
    <row r="5" spans="1:12" x14ac:dyDescent="0.15">
      <c r="A5">
        <v>1</v>
      </c>
      <c r="B5" t="s">
        <v>24</v>
      </c>
      <c r="C5" s="9">
        <v>0</v>
      </c>
      <c r="D5">
        <v>1</v>
      </c>
      <c r="E5" s="11">
        <f>WORKDAY(MAX(F4),I5,Holidays!A:A)</f>
        <v>44347</v>
      </c>
      <c r="F5" s="11">
        <f>IF(ISBLANK(J5),WORKDAY(E5,D5,Holidays!A:A),E5+7-WEEKDAY(E5+7-J5))</f>
        <v>44348</v>
      </c>
      <c r="G5" t="s">
        <v>30</v>
      </c>
      <c r="I5">
        <v>1</v>
      </c>
      <c r="J5" s="10"/>
      <c r="K5" s="11"/>
      <c r="L5" s="11"/>
    </row>
    <row r="6" spans="1:12" x14ac:dyDescent="0.15">
      <c r="A6">
        <v>2</v>
      </c>
      <c r="B6" t="s">
        <v>18</v>
      </c>
      <c r="C6" s="9" t="s">
        <v>22</v>
      </c>
      <c r="D6">
        <v>1</v>
      </c>
      <c r="E6" s="11">
        <f>WORKDAY(MAX(F4,F5),I6,Holidays!A:A)</f>
        <v>44349</v>
      </c>
      <c r="F6" s="11">
        <f>IF(ISBLANK(J6),WORKDAY(E6,D6,Holidays!A:A),E6+7-WEEKDAY(E6+7-J6))</f>
        <v>44350</v>
      </c>
      <c r="G6" t="s">
        <v>31</v>
      </c>
      <c r="I6">
        <v>1</v>
      </c>
      <c r="J6" s="10"/>
      <c r="K6" s="11"/>
      <c r="L6" s="11"/>
    </row>
    <row r="7" spans="1:12" x14ac:dyDescent="0.15">
      <c r="A7">
        <v>3</v>
      </c>
      <c r="B7" t="s">
        <v>21</v>
      </c>
      <c r="C7" s="9" t="s">
        <v>23</v>
      </c>
      <c r="D7">
        <v>1</v>
      </c>
      <c r="E7" s="11">
        <f>WORKDAY(MAX(F5,F6),I7,Holidays!A:A)</f>
        <v>44351</v>
      </c>
      <c r="F7" s="11">
        <f>IF(ISBLANK(J7),WORKDAY(E7,D7,Holidays!A:A),E7+7-WEEKDAY(E7+7-J7))</f>
        <v>44354</v>
      </c>
      <c r="G7" t="s">
        <v>32</v>
      </c>
      <c r="I7">
        <v>1</v>
      </c>
      <c r="J7" s="10"/>
      <c r="K7" s="11"/>
      <c r="L7" s="11"/>
    </row>
    <row r="8" spans="1:12" x14ac:dyDescent="0.15">
      <c r="A8">
        <v>4</v>
      </c>
      <c r="B8" t="s">
        <v>25</v>
      </c>
      <c r="C8" s="9" t="s">
        <v>26</v>
      </c>
      <c r="D8">
        <v>1</v>
      </c>
      <c r="E8" s="11">
        <f>WORKDAY(MAX(F6,F7),I8,Holidays!A:A)</f>
        <v>44355</v>
      </c>
      <c r="F8" s="11">
        <f>IF(ISBLANK(J8),WORKDAY(E8,D8,Holidays!A:A),E8+7-WEEKDAY(E8+7-J8))</f>
        <v>44356</v>
      </c>
      <c r="G8" t="s">
        <v>33</v>
      </c>
      <c r="I8">
        <v>1</v>
      </c>
      <c r="J8" s="10"/>
      <c r="K8" s="11"/>
      <c r="L8" s="11"/>
    </row>
    <row r="9" spans="1:12" x14ac:dyDescent="0.15">
      <c r="A9">
        <v>5</v>
      </c>
      <c r="B9" t="s">
        <v>27</v>
      </c>
      <c r="C9" s="9" t="s">
        <v>19</v>
      </c>
      <c r="D9">
        <v>1</v>
      </c>
      <c r="E9" s="11">
        <f>WORKDAY(MAX(F7,F8),I9,Holidays!A:A)</f>
        <v>44357</v>
      </c>
      <c r="F9" s="11">
        <f>IF(ISBLANK(J9),WORKDAY(E9,D9,Holidays!A:A),E9+7-WEEKDAY(E9+7-J9))</f>
        <v>44358</v>
      </c>
      <c r="G9" t="s">
        <v>34</v>
      </c>
      <c r="I9">
        <v>1</v>
      </c>
      <c r="J9" s="10"/>
      <c r="K9" s="11"/>
      <c r="L9" s="11"/>
    </row>
    <row r="10" spans="1:12" x14ac:dyDescent="0.15">
      <c r="A10">
        <v>6</v>
      </c>
      <c r="B10" t="s">
        <v>20</v>
      </c>
      <c r="C10" s="9">
        <v>5</v>
      </c>
      <c r="E10" s="11">
        <f>WORKDAY(MAX(F9),I10,Holidays!A:A)</f>
        <v>44358</v>
      </c>
      <c r="F10" s="11">
        <f>IF(ISBLANK(J10),WORKDAY(E10,D10,Holidays!A:A),E10+7-WEEKDAY(E10+7-J10))</f>
        <v>44358</v>
      </c>
      <c r="G10" t="s">
        <v>35</v>
      </c>
      <c r="J10" s="10"/>
      <c r="K10" s="11"/>
      <c r="L10" s="11"/>
    </row>
    <row r="11" spans="1:12" x14ac:dyDescent="0.15">
      <c r="A11">
        <v>7</v>
      </c>
      <c r="B11" t="s">
        <v>16</v>
      </c>
      <c r="C11" s="9" t="s">
        <v>28</v>
      </c>
      <c r="E11" s="11">
        <f>WORKDAY(MAX(F9,F10),I11,Holidays!A:A)</f>
        <v>44358</v>
      </c>
      <c r="F11" s="11">
        <f>IF(ISBLANK(J11),WORKDAY(E11,D11,Holidays!A:A),E11+7-WEEKDAY(E11+7-J11))</f>
        <v>44358</v>
      </c>
      <c r="G11" t="s">
        <v>36</v>
      </c>
      <c r="J11" s="10"/>
      <c r="K11" s="11"/>
      <c r="L11" s="11"/>
    </row>
    <row r="12" spans="1:12" x14ac:dyDescent="0.15">
      <c r="E12" s="11"/>
      <c r="F12" s="11"/>
      <c r="J12" s="10"/>
      <c r="K12" s="11"/>
      <c r="L12" s="11"/>
    </row>
    <row r="13" spans="1:12" x14ac:dyDescent="0.15">
      <c r="E13" s="11"/>
      <c r="F13" s="11"/>
      <c r="J13" s="10"/>
      <c r="K13" s="11"/>
      <c r="L13" s="11"/>
    </row>
    <row r="14" spans="1:12" x14ac:dyDescent="0.15">
      <c r="E14" s="11"/>
      <c r="F14" s="11"/>
      <c r="J14" s="10"/>
      <c r="K14" s="11"/>
      <c r="L14" s="11"/>
    </row>
    <row r="15" spans="1:12" x14ac:dyDescent="0.15">
      <c r="E15" s="11"/>
      <c r="F15" s="11"/>
      <c r="J15" s="10"/>
      <c r="K15" s="11"/>
      <c r="L15" s="11"/>
    </row>
    <row r="16" spans="1:12" x14ac:dyDescent="0.15">
      <c r="E16" s="11"/>
      <c r="F16" s="11"/>
      <c r="J16" s="10"/>
      <c r="K16" s="11"/>
      <c r="L16" s="11"/>
    </row>
    <row r="17" spans="5:12" x14ac:dyDescent="0.15">
      <c r="E17" s="11"/>
      <c r="F17" s="11"/>
      <c r="J17" s="10"/>
      <c r="K17" s="11"/>
      <c r="L17" s="11"/>
    </row>
    <row r="18" spans="5:12" x14ac:dyDescent="0.15">
      <c r="E18" s="11"/>
      <c r="F18" s="11"/>
      <c r="J18" s="10"/>
      <c r="K18" s="11"/>
      <c r="L18" s="11"/>
    </row>
    <row r="19" spans="5:12" x14ac:dyDescent="0.15">
      <c r="E19" s="11"/>
      <c r="F19" s="11"/>
      <c r="J19" s="10"/>
      <c r="K19" s="11"/>
      <c r="L19" s="11"/>
    </row>
    <row r="20" spans="5:12" x14ac:dyDescent="0.15">
      <c r="E20" s="11"/>
      <c r="F20" s="11"/>
      <c r="J20" s="10"/>
      <c r="K20" s="11"/>
      <c r="L20" s="11"/>
    </row>
    <row r="21" spans="5:12" x14ac:dyDescent="0.15">
      <c r="J21" s="10"/>
    </row>
    <row r="22" spans="5:12" x14ac:dyDescent="0.15">
      <c r="J22" s="10"/>
    </row>
    <row r="23" spans="5:12" x14ac:dyDescent="0.15">
      <c r="J23" s="10"/>
    </row>
    <row r="24" spans="5:12" x14ac:dyDescent="0.15">
      <c r="J24" s="10"/>
    </row>
    <row r="25" spans="5:12" x14ac:dyDescent="0.15">
      <c r="J25" s="10"/>
    </row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lotSchedule">
                <anchor moveWithCells="1" sizeWithCells="1">
                  <from>
                    <xdr:col>2</xdr:col>
                    <xdr:colOff>428625</xdr:colOff>
                    <xdr:row>0</xdr:row>
                    <xdr:rowOff>114300</xdr:rowOff>
                  </from>
                  <to>
                    <xdr:col>3</xdr:col>
                    <xdr:colOff>866775</xdr:colOff>
                    <xdr:row>0</xdr:row>
                    <xdr:rowOff>476250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DrawSheet"/>
  <dimension ref="A1:F9"/>
  <sheetViews>
    <sheetView showGridLines="0" tabSelected="1" zoomScaleNormal="100" workbookViewId="0">
      <pane ySplit="9" topLeftCell="A10" activePane="bottomLeft" state="frozen"/>
      <selection pane="bottomLeft" activeCell="A10" sqref="A10"/>
    </sheetView>
  </sheetViews>
  <sheetFormatPr defaultRowHeight="13.5" x14ac:dyDescent="0.15"/>
  <cols>
    <col min="1" max="1" width="25.375" customWidth="1"/>
    <col min="2" max="2" width="23.875" customWidth="1"/>
    <col min="3" max="3" width="46" customWidth="1"/>
    <col min="4" max="4" width="23.25" customWidth="1"/>
    <col min="5" max="5" width="22.625" customWidth="1"/>
    <col min="6" max="6" width="9" customWidth="1"/>
  </cols>
  <sheetData>
    <row r="1" spans="1:6" s="2" customFormat="1" ht="24.75" customHeight="1" x14ac:dyDescent="0.15">
      <c r="A1" s="5" t="s">
        <v>0</v>
      </c>
      <c r="B1" s="5" t="s">
        <v>1</v>
      </c>
      <c r="C1" s="5" t="s">
        <v>2</v>
      </c>
      <c r="D1" s="5" t="s">
        <v>11</v>
      </c>
      <c r="E1" s="5" t="s">
        <v>3</v>
      </c>
      <c r="F1" s="3"/>
    </row>
    <row r="2" spans="1:6" s="2" customFormat="1" x14ac:dyDescent="0.15">
      <c r="A2" s="4"/>
      <c r="B2" s="4"/>
      <c r="C2" s="4"/>
      <c r="D2" s="4"/>
      <c r="E2" s="4"/>
      <c r="F2" s="3"/>
    </row>
    <row r="3" spans="1:6" s="2" customFormat="1" x14ac:dyDescent="0.15">
      <c r="A3" s="4"/>
      <c r="B3" s="4"/>
      <c r="C3" s="4"/>
      <c r="D3" s="4"/>
      <c r="E3" s="4"/>
      <c r="F3" s="3"/>
    </row>
    <row r="4" spans="1:6" s="2" customFormat="1" x14ac:dyDescent="0.15">
      <c r="A4" s="4"/>
      <c r="B4" s="4"/>
      <c r="C4" s="4"/>
      <c r="D4" s="4"/>
      <c r="E4" s="4"/>
      <c r="F4" s="3"/>
    </row>
    <row r="5" spans="1:6" s="2" customFormat="1" x14ac:dyDescent="0.15">
      <c r="A5" s="4"/>
      <c r="B5" s="4"/>
      <c r="C5" s="4"/>
      <c r="D5" s="4"/>
      <c r="E5" s="4"/>
      <c r="F5" s="3"/>
    </row>
    <row r="6" spans="1:6" s="2" customFormat="1" x14ac:dyDescent="0.15">
      <c r="A6" s="4"/>
      <c r="B6" s="4"/>
      <c r="C6" s="4"/>
      <c r="D6" s="4"/>
      <c r="E6" s="4"/>
      <c r="F6" s="3"/>
    </row>
    <row r="7" spans="1:6" s="2" customFormat="1" x14ac:dyDescent="0.15">
      <c r="A7" s="4"/>
      <c r="B7" s="4"/>
      <c r="C7" s="4"/>
      <c r="D7" s="4"/>
      <c r="E7" s="4"/>
      <c r="F7" s="3"/>
    </row>
    <row r="8" spans="1:6" s="2" customFormat="1" x14ac:dyDescent="0.15">
      <c r="A8" s="4"/>
      <c r="B8" s="4"/>
      <c r="C8" s="4"/>
      <c r="D8" s="4"/>
      <c r="E8" s="4"/>
      <c r="F8" s="3"/>
    </row>
    <row r="9" spans="1:6" s="2" customFormat="1" x14ac:dyDescent="0.15">
      <c r="A9" s="4"/>
      <c r="B9" s="4"/>
      <c r="C9" s="4"/>
      <c r="D9" s="4"/>
      <c r="E9" s="4"/>
      <c r="F9" s="3"/>
    </row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tn_RemoveAllShapse">
              <controlPr defaultSize="0" print="0" autoFill="0" autoPict="0" macro="[0]!EntryPoint">
                <anchor>
                  <from>
                    <xdr:col>4</xdr:col>
                    <xdr:colOff>171450</xdr:colOff>
                    <xdr:row>1</xdr:row>
                    <xdr:rowOff>76200</xdr:rowOff>
                  </from>
                  <to>
                    <xdr:col>4</xdr:col>
                    <xdr:colOff>1600200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tn_PlotTasks">
              <controlPr defaultSize="0" print="0" autoFill="0" autoPict="0" macro="[0]!EntryPoint">
                <anchor>
                  <from>
                    <xdr:col>0</xdr:col>
                    <xdr:colOff>295275</xdr:colOff>
                    <xdr:row>1</xdr:row>
                    <xdr:rowOff>85725</xdr:rowOff>
                  </from>
                  <to>
                    <xdr:col>0</xdr:col>
                    <xdr:colOff>1733550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tn_OrderNodeVertical">
              <controlPr defaultSize="0" print="0" autoFill="0" autoPict="0" macro="[0]!EntryPoint">
                <anchor>
                  <from>
                    <xdr:col>1</xdr:col>
                    <xdr:colOff>171450</xdr:colOff>
                    <xdr:row>1</xdr:row>
                    <xdr:rowOff>66675</xdr:rowOff>
                  </from>
                  <to>
                    <xdr:col>1</xdr:col>
                    <xdr:colOff>1600200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tn_FindDisconnection">
              <controlPr defaultSize="0" print="0" autoFill="0" autoPict="0" macro="[0]!EntryPoint">
                <anchor>
                  <from>
                    <xdr:col>2</xdr:col>
                    <xdr:colOff>1895475</xdr:colOff>
                    <xdr:row>1</xdr:row>
                    <xdr:rowOff>66675</xdr:rowOff>
                  </from>
                  <to>
                    <xdr:col>2</xdr:col>
                    <xdr:colOff>3333750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tn_ConnectStreight">
              <controlPr defaultSize="0" print="0" autoFill="0" autoPict="0" macro="[0]!EntryPoint">
                <anchor>
                  <from>
                    <xdr:col>2</xdr:col>
                    <xdr:colOff>209550</xdr:colOff>
                    <xdr:row>1</xdr:row>
                    <xdr:rowOff>66675</xdr:rowOff>
                  </from>
                  <to>
                    <xdr:col>2</xdr:col>
                    <xdr:colOff>1647825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tn_ConnectSplit">
              <controlPr defaultSize="0" print="0" autoFill="0" autoPict="0" macro="[0]!EntryPoint">
                <anchor>
                  <from>
                    <xdr:col>2</xdr:col>
                    <xdr:colOff>209550</xdr:colOff>
                    <xdr:row>5</xdr:row>
                    <xdr:rowOff>47625</xdr:rowOff>
                  </from>
                  <to>
                    <xdr:col>2</xdr:col>
                    <xdr:colOff>1647825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Btn_ConnectMarge">
              <controlPr defaultSize="0" print="0" autoFill="0" autoPict="0" macro="[0]!EntryPoint">
                <anchor>
                  <from>
                    <xdr:col>2</xdr:col>
                    <xdr:colOff>1895475</xdr:colOff>
                    <xdr:row>5</xdr:row>
                    <xdr:rowOff>47625</xdr:rowOff>
                  </from>
                  <to>
                    <xdr:col>2</xdr:col>
                    <xdr:colOff>3333750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1" name="Btn_SwapNodeLocation">
              <controlPr defaultSize="0" print="0" autoFill="0" autoPict="0" macro="[0]!EntryPoint">
                <anchor>
                  <from>
                    <xdr:col>1</xdr:col>
                    <xdr:colOff>171450</xdr:colOff>
                    <xdr:row>5</xdr:row>
                    <xdr:rowOff>47625</xdr:rowOff>
                  </from>
                  <to>
                    <xdr:col>1</xdr:col>
                    <xdr:colOff>1600200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2" name="Btn_RemoveConnections">
              <controlPr defaultSize="0" print="0" autoFill="0" autoPict="0" macro="[0]!EntryPoint">
                <anchor>
                  <from>
                    <xdr:col>4</xdr:col>
                    <xdr:colOff>171450</xdr:colOff>
                    <xdr:row>5</xdr:row>
                    <xdr:rowOff>57150</xdr:rowOff>
                  </from>
                  <to>
                    <xdr:col>4</xdr:col>
                    <xdr:colOff>1600200</xdr:colOff>
                    <xdr:row>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3" name="Btn_NumberingNodes">
              <controlPr defaultSize="0" print="0" autoFill="0" autoPict="0" macro="[0]!EntryPoint">
                <anchor>
                  <from>
                    <xdr:col>3</xdr:col>
                    <xdr:colOff>171450</xdr:colOff>
                    <xdr:row>1</xdr:row>
                    <xdr:rowOff>85725</xdr:rowOff>
                  </from>
                  <to>
                    <xdr:col>3</xdr:col>
                    <xdr:colOff>1609725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4" name="Btn_DeNumberingAllNodes">
              <controlPr defaultSize="0" print="0" autoFill="0" autoPict="0" macro="[0]!EntryPoint">
                <anchor>
                  <from>
                    <xdr:col>3</xdr:col>
                    <xdr:colOff>171450</xdr:colOff>
                    <xdr:row>5</xdr:row>
                    <xdr:rowOff>57150</xdr:rowOff>
                  </from>
                  <to>
                    <xdr:col>3</xdr:col>
                    <xdr:colOff>1609725</xdr:colOff>
                    <xdr:row>8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lidaysSheet"/>
  <dimension ref="A1:A3"/>
  <sheetViews>
    <sheetView workbookViewId="0"/>
  </sheetViews>
  <sheetFormatPr defaultRowHeight="13.5" x14ac:dyDescent="0.15"/>
  <cols>
    <col min="1" max="1" width="10.5" bestFit="1" customWidth="1"/>
  </cols>
  <sheetData>
    <row r="1" spans="1:1" x14ac:dyDescent="0.15">
      <c r="A1" s="6">
        <v>44319</v>
      </c>
    </row>
    <row r="2" spans="1:1" x14ac:dyDescent="0.15">
      <c r="A2" s="6">
        <v>44320</v>
      </c>
    </row>
    <row r="3" spans="1:1" x14ac:dyDescent="0.15">
      <c r="A3" s="6">
        <v>44321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Schedule</vt:lpstr>
      <vt:lpstr>Draw</vt:lpstr>
      <vt:lpstr>Holidays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Takayuki Hommura</dc:creator>
  <cp:lastModifiedBy>Takayuki Hommura</cp:lastModifiedBy>
  <dcterms:created xsi:type="dcterms:W3CDTF">2021-05-22T03:26:50Z</dcterms:created>
  <dcterms:modified xsi:type="dcterms:W3CDTF">2021-06-11T03:18:07Z</dcterms:modified>
</cp:coreProperties>
</file>