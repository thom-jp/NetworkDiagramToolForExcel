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o_\OneDrive\dev\NetworkDiagramToolForExcel\bin\"/>
    </mc:Choice>
  </mc:AlternateContent>
  <bookViews>
    <workbookView xWindow="0" yWindow="0" windowWidth="17895" windowHeight="8490" activeTab="2"/>
  </bookViews>
  <sheets>
    <sheet name="TaskList" sheetId="2" r:id="rId1"/>
    <sheet name="Draw" sheetId="1" r:id="rId2"/>
    <sheet name="Schedule" sheetId="3" r:id="rId3"/>
    <sheet name="Holidays" sheetId="4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3" l="1"/>
  <c r="E6" i="3" s="1"/>
  <c r="F6" i="3" s="1"/>
  <c r="E10" i="3" s="1"/>
  <c r="F10" i="3" s="1"/>
  <c r="E7" i="3" l="1"/>
  <c r="F7" i="3" s="1"/>
  <c r="E11" i="3" s="1"/>
  <c r="F11" i="3" s="1"/>
  <c r="E13" i="3" s="1"/>
  <c r="F13" i="3" s="1"/>
  <c r="E5" i="3"/>
  <c r="F5" i="3" s="1"/>
  <c r="E9" i="3" s="1"/>
  <c r="F9" i="3" s="1"/>
  <c r="E12" i="3" s="1"/>
  <c r="F12" i="3" s="1"/>
  <c r="E8" i="3"/>
  <c r="F8" i="3" s="1"/>
  <c r="E14" i="3" l="1"/>
  <c r="F14" i="3" s="1"/>
  <c r="E15" i="3" s="1"/>
  <c r="F15" i="3" s="1"/>
  <c r="E16" i="3" s="1"/>
  <c r="F16" i="3" s="1"/>
  <c r="E17" i="3" s="1"/>
  <c r="F17" i="3" s="1"/>
  <c r="E18" i="3" s="1"/>
  <c r="F18" i="3" s="1"/>
</calcChain>
</file>

<file path=xl/sharedStrings.xml><?xml version="1.0" encoding="utf-8"?>
<sst xmlns="http://schemas.openxmlformats.org/spreadsheetml/2006/main" count="45" uniqueCount="45">
  <si>
    <t>床のモノを片付ける</t>
    <rPh sb="0" eb="1">
      <t>ユカ</t>
    </rPh>
    <rPh sb="5" eb="7">
      <t>カタヅ</t>
    </rPh>
    <phoneticPr fontId="1"/>
  </si>
  <si>
    <t>床掃除ロボット実行</t>
    <rPh sb="0" eb="1">
      <t>ユカ</t>
    </rPh>
    <rPh sb="1" eb="3">
      <t>ソウジ</t>
    </rPh>
    <rPh sb="7" eb="9">
      <t>ジッコウ</t>
    </rPh>
    <phoneticPr fontId="1"/>
  </si>
  <si>
    <t>衣類の在庫確認</t>
    <rPh sb="0" eb="2">
      <t>イルイ</t>
    </rPh>
    <rPh sb="3" eb="5">
      <t>ザイコ</t>
    </rPh>
    <rPh sb="5" eb="7">
      <t>カクニン</t>
    </rPh>
    <phoneticPr fontId="1"/>
  </si>
  <si>
    <t>洗濯物A</t>
    <rPh sb="0" eb="2">
      <t>センタク</t>
    </rPh>
    <rPh sb="2" eb="3">
      <t>モノ</t>
    </rPh>
    <phoneticPr fontId="1"/>
  </si>
  <si>
    <t>洗濯物B</t>
    <rPh sb="0" eb="2">
      <t>センタク</t>
    </rPh>
    <rPh sb="2" eb="3">
      <t>モノ</t>
    </rPh>
    <phoneticPr fontId="1"/>
  </si>
  <si>
    <t>洗濯物Aを干す</t>
    <rPh sb="0" eb="2">
      <t>センタク</t>
    </rPh>
    <rPh sb="2" eb="3">
      <t>モノ</t>
    </rPh>
    <rPh sb="5" eb="6">
      <t>ホ</t>
    </rPh>
    <phoneticPr fontId="1"/>
  </si>
  <si>
    <t>机の掃除</t>
    <rPh sb="0" eb="1">
      <t>ツクエ</t>
    </rPh>
    <rPh sb="2" eb="4">
      <t>ソウジ</t>
    </rPh>
    <phoneticPr fontId="1"/>
  </si>
  <si>
    <t>ゴミ捨て</t>
    <rPh sb="2" eb="3">
      <t>ス</t>
    </rPh>
    <phoneticPr fontId="1"/>
  </si>
  <si>
    <t>Initiate</t>
    <phoneticPr fontId="1"/>
  </si>
  <si>
    <t>Locate</t>
    <phoneticPr fontId="1"/>
  </si>
  <si>
    <t>Connect</t>
    <phoneticPr fontId="1"/>
  </si>
  <si>
    <t>Remove</t>
    <phoneticPr fontId="1"/>
  </si>
  <si>
    <t>風呂掃除</t>
    <rPh sb="0" eb="2">
      <t>フロ</t>
    </rPh>
    <rPh sb="2" eb="4">
      <t>ソウジ</t>
    </rPh>
    <phoneticPr fontId="1"/>
  </si>
  <si>
    <t>トイレ掃除</t>
    <rPh sb="3" eb="5">
      <t>ソウジ</t>
    </rPh>
    <phoneticPr fontId="1"/>
  </si>
  <si>
    <t>消耗品チェック</t>
    <rPh sb="0" eb="2">
      <t>ショウモウ</t>
    </rPh>
    <rPh sb="2" eb="3">
      <t>ヒン</t>
    </rPh>
    <phoneticPr fontId="1"/>
  </si>
  <si>
    <t>消耗品発注</t>
    <rPh sb="0" eb="2">
      <t>ショウモウ</t>
    </rPh>
    <rPh sb="2" eb="3">
      <t>ヒン</t>
    </rPh>
    <rPh sb="3" eb="5">
      <t>ハッチュウ</t>
    </rPh>
    <phoneticPr fontId="1"/>
  </si>
  <si>
    <t>換気</t>
    <rPh sb="0" eb="2">
      <t>カンキ</t>
    </rPh>
    <phoneticPr fontId="1"/>
  </si>
  <si>
    <t>No</t>
    <phoneticPr fontId="1"/>
  </si>
  <si>
    <t>Task Name</t>
    <phoneticPr fontId="1"/>
  </si>
  <si>
    <t>Planned Start</t>
    <phoneticPr fontId="1"/>
  </si>
  <si>
    <t>Planned End</t>
    <phoneticPr fontId="1"/>
  </si>
  <si>
    <t>Dependency</t>
    <phoneticPr fontId="1"/>
  </si>
  <si>
    <t>Schedule</t>
    <phoneticPr fontId="1"/>
  </si>
  <si>
    <t>START</t>
  </si>
  <si>
    <t>ゴミ捨て</t>
  </si>
  <si>
    <t>床のモノを片付ける</t>
  </si>
  <si>
    <t>床掃除ロボット実行</t>
  </si>
  <si>
    <t>机の掃除</t>
  </si>
  <si>
    <t>トイレ掃除</t>
  </si>
  <si>
    <t>消耗品チェック</t>
  </si>
  <si>
    <t>消耗品発注</t>
  </si>
  <si>
    <t>換気</t>
  </si>
  <si>
    <t>風呂掃除</t>
  </si>
  <si>
    <t>衣類の在庫確認</t>
  </si>
  <si>
    <t>洗濯物A</t>
  </si>
  <si>
    <t>洗濯物Aを干す</t>
  </si>
  <si>
    <t>洗濯物B</t>
  </si>
  <si>
    <t>END</t>
  </si>
  <si>
    <t>Duration</t>
    <phoneticPr fontId="1"/>
  </si>
  <si>
    <t>Task List</t>
    <phoneticPr fontId="1"/>
  </si>
  <si>
    <t>Add task names below</t>
    <phoneticPr fontId="1"/>
  </si>
  <si>
    <t>Number</t>
    <phoneticPr fontId="1"/>
  </si>
  <si>
    <t>3,4</t>
  </si>
  <si>
    <t>6,7</t>
  </si>
  <si>
    <t>8,9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</si>
</sst>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36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Meiryo UI"/>
      <family val="3"/>
      <charset val="128"/>
    </font>
    <font>
      <b/>
      <sz val="11"/>
      <color theme="0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0" fillId="3" borderId="0" xfId="0" applyFill="1">
      <alignment vertical="center"/>
    </xf>
    <xf numFmtId="0" fontId="0" fillId="3" borderId="0" xfId="0" applyFill="1" applyBorder="1">
      <alignment vertical="center"/>
    </xf>
    <xf numFmtId="0" fontId="0" fillId="3" borderId="1" xfId="0" applyFill="1" applyBorder="1">
      <alignment vertical="center"/>
    </xf>
    <xf numFmtId="0" fontId="6" fillId="3" borderId="1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2" fillId="4" borderId="0" xfId="0" applyFont="1" applyFill="1">
      <alignment vertical="center"/>
    </xf>
    <xf numFmtId="0" fontId="3" fillId="4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1</xdr:row>
          <xdr:rowOff>76200</xdr:rowOff>
        </xdr:from>
        <xdr:to>
          <xdr:col>4</xdr:col>
          <xdr:colOff>1600200</xdr:colOff>
          <xdr:row>4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All Shapes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1</xdr:row>
          <xdr:rowOff>85725</xdr:rowOff>
        </xdr:from>
        <xdr:to>
          <xdr:col>0</xdr:col>
          <xdr:colOff>1733550</xdr:colOff>
          <xdr:row>4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1</xdr:row>
          <xdr:rowOff>66675</xdr:rowOff>
        </xdr:from>
        <xdr:to>
          <xdr:col>1</xdr:col>
          <xdr:colOff>1600200</xdr:colOff>
          <xdr:row>4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Order Node Vertical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1</xdr:row>
          <xdr:rowOff>66675</xdr:rowOff>
        </xdr:from>
        <xdr:to>
          <xdr:col>2</xdr:col>
          <xdr:colOff>3333750</xdr:colOff>
          <xdr:row>4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Find Disconnection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1</xdr:row>
          <xdr:rowOff>66675</xdr:rowOff>
        </xdr:from>
        <xdr:to>
          <xdr:col>2</xdr:col>
          <xdr:colOff>1647825</xdr:colOff>
          <xdr:row>4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Straight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5</xdr:row>
          <xdr:rowOff>47625</xdr:rowOff>
        </xdr:from>
        <xdr:to>
          <xdr:col>2</xdr:col>
          <xdr:colOff>1647825</xdr:colOff>
          <xdr:row>8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Split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5</xdr:row>
          <xdr:rowOff>47625</xdr:rowOff>
        </xdr:from>
        <xdr:to>
          <xdr:col>2</xdr:col>
          <xdr:colOff>3333750</xdr:colOff>
          <xdr:row>8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Marge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5</xdr:row>
          <xdr:rowOff>47625</xdr:rowOff>
        </xdr:from>
        <xdr:to>
          <xdr:col>1</xdr:col>
          <xdr:colOff>1600200</xdr:colOff>
          <xdr:row>8</xdr:row>
          <xdr:rowOff>85725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Swap Node 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5</xdr:row>
          <xdr:rowOff>57150</xdr:rowOff>
        </xdr:from>
        <xdr:to>
          <xdr:col>4</xdr:col>
          <xdr:colOff>1600200</xdr:colOff>
          <xdr:row>8</xdr:row>
          <xdr:rowOff>95250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Connections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1</xdr:row>
          <xdr:rowOff>85725</xdr:rowOff>
        </xdr:from>
        <xdr:to>
          <xdr:col>3</xdr:col>
          <xdr:colOff>1609725</xdr:colOff>
          <xdr:row>4</xdr:row>
          <xdr:rowOff>114300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Number Nodes as Selection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5</xdr:row>
          <xdr:rowOff>57150</xdr:rowOff>
        </xdr:from>
        <xdr:to>
          <xdr:col>3</xdr:col>
          <xdr:colOff>1609725</xdr:colOff>
          <xdr:row>8</xdr:row>
          <xdr:rowOff>95250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Unnumber All Nodes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705970</xdr:colOff>
      <xdr:row>20</xdr:row>
      <xdr:rowOff>85912</xdr:rowOff>
    </xdr:from>
    <xdr:to>
      <xdr:col>0</xdr:col>
      <xdr:colOff>1467970</xdr:colOff>
      <xdr:row>25</xdr:row>
      <xdr:rowOff>7471</xdr:rowOff>
    </xdr:to>
    <xdr:sp macro="" textlink="">
      <xdr:nvSpPr>
        <xdr:cNvPr id="1068" name="円/楕円 1067"/>
        <xdr:cNvSpPr/>
      </xdr:nvSpPr>
      <xdr:spPr>
        <a:xfrm>
          <a:off x="705970" y="3593353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0.STA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RT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1651000</xdr:colOff>
      <xdr:row>11</xdr:row>
      <xdr:rowOff>164353</xdr:rowOff>
    </xdr:from>
    <xdr:to>
      <xdr:col>1</xdr:col>
      <xdr:colOff>474382</xdr:colOff>
      <xdr:row>16</xdr:row>
      <xdr:rowOff>85912</xdr:rowOff>
    </xdr:to>
    <xdr:sp macro="" textlink="">
      <xdr:nvSpPr>
        <xdr:cNvPr id="1069" name="円/楕円 1068"/>
        <xdr:cNvSpPr/>
      </xdr:nvSpPr>
      <xdr:spPr>
        <a:xfrm>
          <a:off x="1651000" y="2193178"/>
          <a:ext cx="756957" cy="778809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1.</a:t>
          </a:r>
          <a:r>
            <a:rPr kumimoji="1" lang="ja-JP" altLang="en-US" sz="1100">
              <a:solidFill>
                <a:srgbClr val="000000"/>
              </a:solidFill>
            </a:rPr>
            <a:t>床のモ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ノを片付け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る</a:t>
          </a:r>
        </a:p>
      </xdr:txBody>
    </xdr:sp>
    <xdr:clientData/>
  </xdr:twoCellAnchor>
  <xdr:twoCellAnchor>
    <xdr:from>
      <xdr:col>0</xdr:col>
      <xdr:colOff>1651000</xdr:colOff>
      <xdr:row>17</xdr:row>
      <xdr:rowOff>151653</xdr:rowOff>
    </xdr:from>
    <xdr:to>
      <xdr:col>1</xdr:col>
      <xdr:colOff>479425</xdr:colOff>
      <xdr:row>22</xdr:row>
      <xdr:rowOff>73212</xdr:rowOff>
    </xdr:to>
    <xdr:sp macro="" textlink="">
      <xdr:nvSpPr>
        <xdr:cNvPr id="1070" name="円/楕円 1069"/>
        <xdr:cNvSpPr/>
      </xdr:nvSpPr>
      <xdr:spPr>
        <a:xfrm>
          <a:off x="1651000" y="3209178"/>
          <a:ext cx="762000" cy="778809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2.</a:t>
          </a:r>
          <a:r>
            <a:rPr kumimoji="1" lang="ja-JP" altLang="en-US" sz="1100">
              <a:solidFill>
                <a:srgbClr val="000000"/>
              </a:solidFill>
            </a:rPr>
            <a:t>床掃除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ロボット実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行</a:t>
          </a:r>
        </a:p>
      </xdr:txBody>
    </xdr:sp>
    <xdr:clientData/>
  </xdr:twoCellAnchor>
  <xdr:twoCellAnchor>
    <xdr:from>
      <xdr:col>0</xdr:col>
      <xdr:colOff>1651000</xdr:colOff>
      <xdr:row>23</xdr:row>
      <xdr:rowOff>138953</xdr:rowOff>
    </xdr:from>
    <xdr:to>
      <xdr:col>1</xdr:col>
      <xdr:colOff>483347</xdr:colOff>
      <xdr:row>28</xdr:row>
      <xdr:rowOff>60512</xdr:rowOff>
    </xdr:to>
    <xdr:sp macro="" textlink="">
      <xdr:nvSpPr>
        <xdr:cNvPr id="1071" name="円/楕円 1070"/>
        <xdr:cNvSpPr/>
      </xdr:nvSpPr>
      <xdr:spPr>
        <a:xfrm>
          <a:off x="1651000" y="4225178"/>
          <a:ext cx="765922" cy="778809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3.</a:t>
          </a:r>
          <a:r>
            <a:rPr kumimoji="1" lang="ja-JP" altLang="en-US" sz="1100">
              <a:solidFill>
                <a:srgbClr val="000000"/>
              </a:solidFill>
            </a:rPr>
            <a:t>衣類の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在庫確認</a:t>
          </a:r>
        </a:p>
      </xdr:txBody>
    </xdr:sp>
    <xdr:clientData/>
  </xdr:twoCellAnchor>
  <xdr:twoCellAnchor>
    <xdr:from>
      <xdr:col>0</xdr:col>
      <xdr:colOff>1651000</xdr:colOff>
      <xdr:row>29</xdr:row>
      <xdr:rowOff>126253</xdr:rowOff>
    </xdr:from>
    <xdr:to>
      <xdr:col>1</xdr:col>
      <xdr:colOff>479425</xdr:colOff>
      <xdr:row>34</xdr:row>
      <xdr:rowOff>47812</xdr:rowOff>
    </xdr:to>
    <xdr:sp macro="" textlink="">
      <xdr:nvSpPr>
        <xdr:cNvPr id="1072" name="円/楕円 1071"/>
        <xdr:cNvSpPr/>
      </xdr:nvSpPr>
      <xdr:spPr>
        <a:xfrm>
          <a:off x="1651000" y="5241178"/>
          <a:ext cx="762000" cy="778809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4.</a:t>
          </a:r>
          <a:r>
            <a:rPr kumimoji="1" lang="ja-JP" altLang="en-US" sz="1100">
              <a:solidFill>
                <a:srgbClr val="000000"/>
              </a:solidFill>
            </a:rPr>
            <a:t>洗濯物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A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1453032</xdr:colOff>
      <xdr:row>11</xdr:row>
      <xdr:rowOff>164353</xdr:rowOff>
    </xdr:from>
    <xdr:to>
      <xdr:col>2</xdr:col>
      <xdr:colOff>2215032</xdr:colOff>
      <xdr:row>16</xdr:row>
      <xdr:rowOff>85912</xdr:rowOff>
    </xdr:to>
    <xdr:sp macro="" textlink="">
      <xdr:nvSpPr>
        <xdr:cNvPr id="1073" name="円/楕円 1072"/>
        <xdr:cNvSpPr/>
      </xdr:nvSpPr>
      <xdr:spPr>
        <a:xfrm>
          <a:off x="5205882" y="2193178"/>
          <a:ext cx="762000" cy="778809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5.</a:t>
          </a:r>
          <a:r>
            <a:rPr kumimoji="1" lang="ja-JP" altLang="en-US" sz="1100">
              <a:solidFill>
                <a:srgbClr val="000000"/>
              </a:solidFill>
            </a:rPr>
            <a:t>洗濯物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B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1453032</xdr:colOff>
      <xdr:row>17</xdr:row>
      <xdr:rowOff>151653</xdr:rowOff>
    </xdr:from>
    <xdr:to>
      <xdr:col>2</xdr:col>
      <xdr:colOff>2215032</xdr:colOff>
      <xdr:row>22</xdr:row>
      <xdr:rowOff>73212</xdr:rowOff>
    </xdr:to>
    <xdr:sp macro="" textlink="">
      <xdr:nvSpPr>
        <xdr:cNvPr id="1074" name="円/楕円 1073"/>
        <xdr:cNvSpPr/>
      </xdr:nvSpPr>
      <xdr:spPr>
        <a:xfrm>
          <a:off x="5205882" y="3209178"/>
          <a:ext cx="762000" cy="778809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6.</a:t>
          </a:r>
          <a:r>
            <a:rPr kumimoji="1" lang="ja-JP" altLang="en-US" sz="1100">
              <a:solidFill>
                <a:srgbClr val="000000"/>
              </a:solidFill>
            </a:rPr>
            <a:t>洗濯物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A</a:t>
          </a:r>
          <a:r>
            <a:rPr kumimoji="1" lang="ja-JP" altLang="en-US" sz="1100">
              <a:solidFill>
                <a:srgbClr val="000000"/>
              </a:solidFill>
            </a:rPr>
            <a:t>を干す</a:t>
          </a:r>
        </a:p>
      </xdr:txBody>
    </xdr:sp>
    <xdr:clientData/>
  </xdr:twoCellAnchor>
  <xdr:twoCellAnchor>
    <xdr:from>
      <xdr:col>2</xdr:col>
      <xdr:colOff>1453032</xdr:colOff>
      <xdr:row>23</xdr:row>
      <xdr:rowOff>138953</xdr:rowOff>
    </xdr:from>
    <xdr:to>
      <xdr:col>2</xdr:col>
      <xdr:colOff>2212791</xdr:colOff>
      <xdr:row>28</xdr:row>
      <xdr:rowOff>60512</xdr:rowOff>
    </xdr:to>
    <xdr:sp macro="" textlink="">
      <xdr:nvSpPr>
        <xdr:cNvPr id="1075" name="円/楕円 1074"/>
        <xdr:cNvSpPr/>
      </xdr:nvSpPr>
      <xdr:spPr>
        <a:xfrm>
          <a:off x="5205882" y="4225178"/>
          <a:ext cx="759759" cy="778809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7.</a:t>
          </a:r>
          <a:r>
            <a:rPr kumimoji="1" lang="ja-JP" altLang="en-US" sz="1100">
              <a:solidFill>
                <a:srgbClr val="000000"/>
              </a:solidFill>
            </a:rPr>
            <a:t>机の掃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除</a:t>
          </a:r>
        </a:p>
      </xdr:txBody>
    </xdr:sp>
    <xdr:clientData/>
  </xdr:twoCellAnchor>
  <xdr:twoCellAnchor>
    <xdr:from>
      <xdr:col>3</xdr:col>
      <xdr:colOff>612584</xdr:colOff>
      <xdr:row>11</xdr:row>
      <xdr:rowOff>164353</xdr:rowOff>
    </xdr:from>
    <xdr:to>
      <xdr:col>3</xdr:col>
      <xdr:colOff>1374584</xdr:colOff>
      <xdr:row>16</xdr:row>
      <xdr:rowOff>85912</xdr:rowOff>
    </xdr:to>
    <xdr:sp macro="" textlink="">
      <xdr:nvSpPr>
        <xdr:cNvPr id="1076" name="円/楕円 1075"/>
        <xdr:cNvSpPr/>
      </xdr:nvSpPr>
      <xdr:spPr>
        <a:xfrm>
          <a:off x="7870634" y="2193178"/>
          <a:ext cx="762000" cy="778809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8.</a:t>
          </a:r>
          <a:r>
            <a:rPr kumimoji="1" lang="ja-JP" altLang="en-US" sz="1100">
              <a:solidFill>
                <a:srgbClr val="000000"/>
              </a:solidFill>
            </a:rPr>
            <a:t>ゴミ捨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て</a:t>
          </a:r>
        </a:p>
      </xdr:txBody>
    </xdr:sp>
    <xdr:clientData/>
  </xdr:twoCellAnchor>
  <xdr:twoCellAnchor>
    <xdr:from>
      <xdr:col>3</xdr:col>
      <xdr:colOff>612584</xdr:colOff>
      <xdr:row>17</xdr:row>
      <xdr:rowOff>151653</xdr:rowOff>
    </xdr:from>
    <xdr:to>
      <xdr:col>3</xdr:col>
      <xdr:colOff>1375705</xdr:colOff>
      <xdr:row>22</xdr:row>
      <xdr:rowOff>73212</xdr:rowOff>
    </xdr:to>
    <xdr:sp macro="" textlink="">
      <xdr:nvSpPr>
        <xdr:cNvPr id="1077" name="円/楕円 1076"/>
        <xdr:cNvSpPr/>
      </xdr:nvSpPr>
      <xdr:spPr>
        <a:xfrm>
          <a:off x="7870634" y="3209178"/>
          <a:ext cx="763121" cy="778809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9.</a:t>
          </a:r>
          <a:r>
            <a:rPr kumimoji="1" lang="ja-JP" altLang="en-US" sz="1100">
              <a:solidFill>
                <a:srgbClr val="000000"/>
              </a:solidFill>
            </a:rPr>
            <a:t>消耗品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チェック</a:t>
          </a:r>
        </a:p>
      </xdr:txBody>
    </xdr:sp>
    <xdr:clientData/>
  </xdr:twoCellAnchor>
  <xdr:twoCellAnchor>
    <xdr:from>
      <xdr:col>4</xdr:col>
      <xdr:colOff>620059</xdr:colOff>
      <xdr:row>11</xdr:row>
      <xdr:rowOff>164353</xdr:rowOff>
    </xdr:from>
    <xdr:to>
      <xdr:col>4</xdr:col>
      <xdr:colOff>1382059</xdr:colOff>
      <xdr:row>16</xdr:row>
      <xdr:rowOff>85912</xdr:rowOff>
    </xdr:to>
    <xdr:sp macro="" textlink="">
      <xdr:nvSpPr>
        <xdr:cNvPr id="1078" name="円/楕円 1077"/>
        <xdr:cNvSpPr/>
      </xdr:nvSpPr>
      <xdr:spPr>
        <a:xfrm>
          <a:off x="9652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10.</a:t>
          </a:r>
          <a:r>
            <a:rPr kumimoji="1" lang="ja-JP" altLang="en-US" sz="1100">
              <a:solidFill>
                <a:srgbClr val="000000"/>
              </a:solidFill>
            </a:rPr>
            <a:t>消耗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品発注</a:t>
          </a:r>
        </a:p>
      </xdr:txBody>
    </xdr:sp>
    <xdr:clientData/>
  </xdr:twoCellAnchor>
  <xdr:twoCellAnchor>
    <xdr:from>
      <xdr:col>4</xdr:col>
      <xdr:colOff>1509059</xdr:colOff>
      <xdr:row>11</xdr:row>
      <xdr:rowOff>164353</xdr:rowOff>
    </xdr:from>
    <xdr:to>
      <xdr:col>5</xdr:col>
      <xdr:colOff>545353</xdr:colOff>
      <xdr:row>16</xdr:row>
      <xdr:rowOff>85912</xdr:rowOff>
    </xdr:to>
    <xdr:sp macro="" textlink="">
      <xdr:nvSpPr>
        <xdr:cNvPr id="1079" name="円/楕円 1078"/>
        <xdr:cNvSpPr/>
      </xdr:nvSpPr>
      <xdr:spPr>
        <a:xfrm>
          <a:off x="10541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11.</a:t>
          </a:r>
          <a:r>
            <a:rPr kumimoji="1" lang="ja-JP" altLang="en-US" sz="1100">
              <a:solidFill>
                <a:srgbClr val="000000"/>
              </a:solidFill>
            </a:rPr>
            <a:t>換気</a:t>
          </a:r>
        </a:p>
      </xdr:txBody>
    </xdr:sp>
    <xdr:clientData/>
  </xdr:twoCellAnchor>
  <xdr:twoCellAnchor>
    <xdr:from>
      <xdr:col>5</xdr:col>
      <xdr:colOff>672353</xdr:colOff>
      <xdr:row>11</xdr:row>
      <xdr:rowOff>164353</xdr:rowOff>
    </xdr:from>
    <xdr:to>
      <xdr:col>7</xdr:col>
      <xdr:colOff>67235</xdr:colOff>
      <xdr:row>16</xdr:row>
      <xdr:rowOff>85912</xdr:rowOff>
    </xdr:to>
    <xdr:sp macro="" textlink="">
      <xdr:nvSpPr>
        <xdr:cNvPr id="1080" name="円/楕円 1079"/>
        <xdr:cNvSpPr/>
      </xdr:nvSpPr>
      <xdr:spPr>
        <a:xfrm>
          <a:off x="11430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12.</a:t>
          </a:r>
          <a:r>
            <a:rPr kumimoji="1" lang="ja-JP" altLang="en-US" sz="1100">
              <a:solidFill>
                <a:srgbClr val="000000"/>
              </a:solidFill>
            </a:rPr>
            <a:t>風呂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掃除</a:t>
          </a:r>
        </a:p>
      </xdr:txBody>
    </xdr:sp>
    <xdr:clientData/>
  </xdr:twoCellAnchor>
  <xdr:twoCellAnchor>
    <xdr:from>
      <xdr:col>7</xdr:col>
      <xdr:colOff>194235</xdr:colOff>
      <xdr:row>11</xdr:row>
      <xdr:rowOff>164353</xdr:rowOff>
    </xdr:from>
    <xdr:to>
      <xdr:col>8</xdr:col>
      <xdr:colOff>272676</xdr:colOff>
      <xdr:row>16</xdr:row>
      <xdr:rowOff>85912</xdr:rowOff>
    </xdr:to>
    <xdr:sp macro="" textlink="">
      <xdr:nvSpPr>
        <xdr:cNvPr id="1081" name="円/楕円 1080"/>
        <xdr:cNvSpPr/>
      </xdr:nvSpPr>
      <xdr:spPr>
        <a:xfrm>
          <a:off x="12319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13.</a:t>
          </a:r>
          <a:r>
            <a:rPr kumimoji="1" lang="ja-JP" altLang="en-US" sz="1100">
              <a:solidFill>
                <a:srgbClr val="000000"/>
              </a:solidFill>
            </a:rPr>
            <a:t>トイ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レ掃除</a:t>
          </a:r>
        </a:p>
      </xdr:txBody>
    </xdr:sp>
    <xdr:clientData/>
  </xdr:twoCellAnchor>
  <xdr:twoCellAnchor>
    <xdr:from>
      <xdr:col>8</xdr:col>
      <xdr:colOff>399676</xdr:colOff>
      <xdr:row>11</xdr:row>
      <xdr:rowOff>164353</xdr:rowOff>
    </xdr:from>
    <xdr:to>
      <xdr:col>9</xdr:col>
      <xdr:colOff>478118</xdr:colOff>
      <xdr:row>16</xdr:row>
      <xdr:rowOff>85912</xdr:rowOff>
    </xdr:to>
    <xdr:sp macro="" textlink="">
      <xdr:nvSpPr>
        <xdr:cNvPr id="1082" name="円/楕円 1081"/>
        <xdr:cNvSpPr/>
      </xdr:nvSpPr>
      <xdr:spPr>
        <a:xfrm>
          <a:off x="13208000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14.EN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D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1467970</xdr:colOff>
      <xdr:row>14</xdr:row>
      <xdr:rowOff>39408</xdr:rowOff>
    </xdr:from>
    <xdr:to>
      <xdr:col>0</xdr:col>
      <xdr:colOff>1651000</xdr:colOff>
      <xdr:row>22</xdr:row>
      <xdr:rowOff>132417</xdr:rowOff>
    </xdr:to>
    <xdr:cxnSp macro="">
      <xdr:nvCxnSpPr>
        <xdr:cNvPr id="1086" name="直線矢印コネクタ 1085"/>
        <xdr:cNvCxnSpPr>
          <a:stCxn id="1068" idx="6"/>
          <a:endCxn id="1069" idx="2"/>
        </xdr:cNvCxnSpPr>
      </xdr:nvCxnSpPr>
      <xdr:spPr>
        <a:xfrm flipV="1">
          <a:off x="1467970" y="2582583"/>
          <a:ext cx="183030" cy="1464609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1467970</xdr:colOff>
      <xdr:row>20</xdr:row>
      <xdr:rowOff>26708</xdr:rowOff>
    </xdr:from>
    <xdr:to>
      <xdr:col>0</xdr:col>
      <xdr:colOff>1651000</xdr:colOff>
      <xdr:row>22</xdr:row>
      <xdr:rowOff>132417</xdr:rowOff>
    </xdr:to>
    <xdr:cxnSp macro="">
      <xdr:nvCxnSpPr>
        <xdr:cNvPr id="1087" name="直線矢印コネクタ 1086"/>
        <xdr:cNvCxnSpPr>
          <a:stCxn id="1068" idx="6"/>
          <a:endCxn id="1070" idx="2"/>
        </xdr:cNvCxnSpPr>
      </xdr:nvCxnSpPr>
      <xdr:spPr>
        <a:xfrm flipV="1">
          <a:off x="1467970" y="3598583"/>
          <a:ext cx="183030" cy="448609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1467970</xdr:colOff>
      <xdr:row>22</xdr:row>
      <xdr:rowOff>132417</xdr:rowOff>
    </xdr:from>
    <xdr:to>
      <xdr:col>0</xdr:col>
      <xdr:colOff>1651000</xdr:colOff>
      <xdr:row>26</xdr:row>
      <xdr:rowOff>14008</xdr:rowOff>
    </xdr:to>
    <xdr:cxnSp macro="">
      <xdr:nvCxnSpPr>
        <xdr:cNvPr id="1088" name="直線矢印コネクタ 1087"/>
        <xdr:cNvCxnSpPr>
          <a:stCxn id="1068" idx="6"/>
          <a:endCxn id="1071" idx="2"/>
        </xdr:cNvCxnSpPr>
      </xdr:nvCxnSpPr>
      <xdr:spPr>
        <a:xfrm>
          <a:off x="1467970" y="4047192"/>
          <a:ext cx="183030" cy="567391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1467970</xdr:colOff>
      <xdr:row>22</xdr:row>
      <xdr:rowOff>132417</xdr:rowOff>
    </xdr:from>
    <xdr:to>
      <xdr:col>0</xdr:col>
      <xdr:colOff>1651000</xdr:colOff>
      <xdr:row>32</xdr:row>
      <xdr:rowOff>1308</xdr:rowOff>
    </xdr:to>
    <xdr:cxnSp macro="">
      <xdr:nvCxnSpPr>
        <xdr:cNvPr id="1089" name="直線矢印コネクタ 1088"/>
        <xdr:cNvCxnSpPr>
          <a:stCxn id="1068" idx="6"/>
          <a:endCxn id="1072" idx="2"/>
        </xdr:cNvCxnSpPr>
      </xdr:nvCxnSpPr>
      <xdr:spPr>
        <a:xfrm>
          <a:off x="1467970" y="4047192"/>
          <a:ext cx="183030" cy="1583391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474382</xdr:colOff>
      <xdr:row>14</xdr:row>
      <xdr:rowOff>39408</xdr:rowOff>
    </xdr:from>
    <xdr:to>
      <xdr:col>2</xdr:col>
      <xdr:colOff>1453032</xdr:colOff>
      <xdr:row>14</xdr:row>
      <xdr:rowOff>39408</xdr:rowOff>
    </xdr:to>
    <xdr:cxnSp macro="">
      <xdr:nvCxnSpPr>
        <xdr:cNvPr id="1090" name="直線矢印コネクタ 1089"/>
        <xdr:cNvCxnSpPr>
          <a:stCxn id="1069" idx="6"/>
          <a:endCxn id="1073" idx="2"/>
        </xdr:cNvCxnSpPr>
      </xdr:nvCxnSpPr>
      <xdr:spPr>
        <a:xfrm>
          <a:off x="2407957" y="2582583"/>
          <a:ext cx="2797925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2215032</xdr:colOff>
      <xdr:row>14</xdr:row>
      <xdr:rowOff>39408</xdr:rowOff>
    </xdr:from>
    <xdr:to>
      <xdr:col>3</xdr:col>
      <xdr:colOff>612584</xdr:colOff>
      <xdr:row>14</xdr:row>
      <xdr:rowOff>39408</xdr:rowOff>
    </xdr:to>
    <xdr:cxnSp macro="">
      <xdr:nvCxnSpPr>
        <xdr:cNvPr id="1091" name="直線矢印コネクタ 1090"/>
        <xdr:cNvCxnSpPr>
          <a:stCxn id="1073" idx="6"/>
          <a:endCxn id="1076" idx="2"/>
        </xdr:cNvCxnSpPr>
      </xdr:nvCxnSpPr>
      <xdr:spPr>
        <a:xfrm>
          <a:off x="5967882" y="2582583"/>
          <a:ext cx="1902752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479425</xdr:colOff>
      <xdr:row>20</xdr:row>
      <xdr:rowOff>26708</xdr:rowOff>
    </xdr:from>
    <xdr:to>
      <xdr:col>2</xdr:col>
      <xdr:colOff>1453032</xdr:colOff>
      <xdr:row>20</xdr:row>
      <xdr:rowOff>26708</xdr:rowOff>
    </xdr:to>
    <xdr:cxnSp macro="">
      <xdr:nvCxnSpPr>
        <xdr:cNvPr id="1092" name="直線矢印コネクタ 1091"/>
        <xdr:cNvCxnSpPr>
          <a:stCxn id="1070" idx="6"/>
          <a:endCxn id="1074" idx="2"/>
        </xdr:cNvCxnSpPr>
      </xdr:nvCxnSpPr>
      <xdr:spPr>
        <a:xfrm>
          <a:off x="2413000" y="3598583"/>
          <a:ext cx="2792882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2215032</xdr:colOff>
      <xdr:row>20</xdr:row>
      <xdr:rowOff>26708</xdr:rowOff>
    </xdr:from>
    <xdr:to>
      <xdr:col>3</xdr:col>
      <xdr:colOff>612584</xdr:colOff>
      <xdr:row>20</xdr:row>
      <xdr:rowOff>26708</xdr:rowOff>
    </xdr:to>
    <xdr:cxnSp macro="">
      <xdr:nvCxnSpPr>
        <xdr:cNvPr id="1093" name="直線矢印コネクタ 1092"/>
        <xdr:cNvCxnSpPr>
          <a:stCxn id="1074" idx="6"/>
          <a:endCxn id="1077" idx="2"/>
        </xdr:cNvCxnSpPr>
      </xdr:nvCxnSpPr>
      <xdr:spPr>
        <a:xfrm>
          <a:off x="5967882" y="3598583"/>
          <a:ext cx="1902752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479425</xdr:colOff>
      <xdr:row>26</xdr:row>
      <xdr:rowOff>14008</xdr:rowOff>
    </xdr:from>
    <xdr:to>
      <xdr:col>2</xdr:col>
      <xdr:colOff>1453032</xdr:colOff>
      <xdr:row>32</xdr:row>
      <xdr:rowOff>1308</xdr:rowOff>
    </xdr:to>
    <xdr:cxnSp macro="">
      <xdr:nvCxnSpPr>
        <xdr:cNvPr id="1094" name="直線矢印コネクタ 1093"/>
        <xdr:cNvCxnSpPr>
          <a:stCxn id="1072" idx="6"/>
          <a:endCxn id="1075" idx="2"/>
        </xdr:cNvCxnSpPr>
      </xdr:nvCxnSpPr>
      <xdr:spPr>
        <a:xfrm flipV="1">
          <a:off x="2413000" y="4614583"/>
          <a:ext cx="2792882" cy="10160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483347</xdr:colOff>
      <xdr:row>26</xdr:row>
      <xdr:rowOff>14008</xdr:rowOff>
    </xdr:from>
    <xdr:to>
      <xdr:col>2</xdr:col>
      <xdr:colOff>1453032</xdr:colOff>
      <xdr:row>26</xdr:row>
      <xdr:rowOff>14008</xdr:rowOff>
    </xdr:to>
    <xdr:cxnSp macro="">
      <xdr:nvCxnSpPr>
        <xdr:cNvPr id="1095" name="直線矢印コネクタ 1094"/>
        <xdr:cNvCxnSpPr>
          <a:stCxn id="1071" idx="6"/>
          <a:endCxn id="1075" idx="2"/>
        </xdr:cNvCxnSpPr>
      </xdr:nvCxnSpPr>
      <xdr:spPr>
        <a:xfrm>
          <a:off x="2416922" y="4614583"/>
          <a:ext cx="2788960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2212791</xdr:colOff>
      <xdr:row>20</xdr:row>
      <xdr:rowOff>26708</xdr:rowOff>
    </xdr:from>
    <xdr:to>
      <xdr:col>3</xdr:col>
      <xdr:colOff>612584</xdr:colOff>
      <xdr:row>26</xdr:row>
      <xdr:rowOff>14008</xdr:rowOff>
    </xdr:to>
    <xdr:cxnSp macro="">
      <xdr:nvCxnSpPr>
        <xdr:cNvPr id="1096" name="直線矢印コネクタ 1095"/>
        <xdr:cNvCxnSpPr>
          <a:stCxn id="1075" idx="6"/>
          <a:endCxn id="1077" idx="2"/>
        </xdr:cNvCxnSpPr>
      </xdr:nvCxnSpPr>
      <xdr:spPr>
        <a:xfrm flipV="1">
          <a:off x="5965641" y="3598583"/>
          <a:ext cx="1904993" cy="10160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1374584</xdr:colOff>
      <xdr:row>14</xdr:row>
      <xdr:rowOff>39408</xdr:rowOff>
    </xdr:from>
    <xdr:to>
      <xdr:col>4</xdr:col>
      <xdr:colOff>620059</xdr:colOff>
      <xdr:row>14</xdr:row>
      <xdr:rowOff>39408</xdr:rowOff>
    </xdr:to>
    <xdr:cxnSp macro="">
      <xdr:nvCxnSpPr>
        <xdr:cNvPr id="1097" name="直線矢印コネクタ 1096"/>
        <xdr:cNvCxnSpPr>
          <a:stCxn id="1076" idx="6"/>
          <a:endCxn id="1078" idx="2"/>
        </xdr:cNvCxnSpPr>
      </xdr:nvCxnSpPr>
      <xdr:spPr>
        <a:xfrm>
          <a:off x="8632634" y="2582583"/>
          <a:ext cx="1017125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1375705</xdr:colOff>
      <xdr:row>14</xdr:row>
      <xdr:rowOff>39408</xdr:rowOff>
    </xdr:from>
    <xdr:to>
      <xdr:col>4</xdr:col>
      <xdr:colOff>620059</xdr:colOff>
      <xdr:row>20</xdr:row>
      <xdr:rowOff>26708</xdr:rowOff>
    </xdr:to>
    <xdr:cxnSp macro="">
      <xdr:nvCxnSpPr>
        <xdr:cNvPr id="1098" name="直線矢印コネクタ 1097"/>
        <xdr:cNvCxnSpPr>
          <a:stCxn id="1077" idx="6"/>
          <a:endCxn id="1078" idx="2"/>
        </xdr:cNvCxnSpPr>
      </xdr:nvCxnSpPr>
      <xdr:spPr>
        <a:xfrm flipV="1">
          <a:off x="8633755" y="2582583"/>
          <a:ext cx="1016004" cy="10160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1382059</xdr:colOff>
      <xdr:row>14</xdr:row>
      <xdr:rowOff>39408</xdr:rowOff>
    </xdr:from>
    <xdr:to>
      <xdr:col>4</xdr:col>
      <xdr:colOff>1509059</xdr:colOff>
      <xdr:row>14</xdr:row>
      <xdr:rowOff>39408</xdr:rowOff>
    </xdr:to>
    <xdr:cxnSp macro="">
      <xdr:nvCxnSpPr>
        <xdr:cNvPr id="1099" name="直線矢印コネクタ 1098"/>
        <xdr:cNvCxnSpPr>
          <a:stCxn id="1078" idx="6"/>
          <a:endCxn id="1079" idx="2"/>
        </xdr:cNvCxnSpPr>
      </xdr:nvCxnSpPr>
      <xdr:spPr>
        <a:xfrm>
          <a:off x="10411759" y="2582583"/>
          <a:ext cx="127000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545353</xdr:colOff>
      <xdr:row>14</xdr:row>
      <xdr:rowOff>39408</xdr:rowOff>
    </xdr:from>
    <xdr:to>
      <xdr:col>5</xdr:col>
      <xdr:colOff>672353</xdr:colOff>
      <xdr:row>14</xdr:row>
      <xdr:rowOff>39408</xdr:rowOff>
    </xdr:to>
    <xdr:cxnSp macro="">
      <xdr:nvCxnSpPr>
        <xdr:cNvPr id="1100" name="直線矢印コネクタ 1099"/>
        <xdr:cNvCxnSpPr>
          <a:stCxn id="1079" idx="6"/>
          <a:endCxn id="1080" idx="2"/>
        </xdr:cNvCxnSpPr>
      </xdr:nvCxnSpPr>
      <xdr:spPr>
        <a:xfrm>
          <a:off x="11299078" y="2582583"/>
          <a:ext cx="127000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67235</xdr:colOff>
      <xdr:row>14</xdr:row>
      <xdr:rowOff>39408</xdr:rowOff>
    </xdr:from>
    <xdr:to>
      <xdr:col>7</xdr:col>
      <xdr:colOff>194235</xdr:colOff>
      <xdr:row>14</xdr:row>
      <xdr:rowOff>39408</xdr:rowOff>
    </xdr:to>
    <xdr:cxnSp macro="">
      <xdr:nvCxnSpPr>
        <xdr:cNvPr id="1101" name="直線矢印コネクタ 1100"/>
        <xdr:cNvCxnSpPr>
          <a:stCxn id="1080" idx="6"/>
          <a:endCxn id="1081" idx="2"/>
        </xdr:cNvCxnSpPr>
      </xdr:nvCxnSpPr>
      <xdr:spPr>
        <a:xfrm>
          <a:off x="12192560" y="2582583"/>
          <a:ext cx="127000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272676</xdr:colOff>
      <xdr:row>14</xdr:row>
      <xdr:rowOff>39408</xdr:rowOff>
    </xdr:from>
    <xdr:to>
      <xdr:col>8</xdr:col>
      <xdr:colOff>399676</xdr:colOff>
      <xdr:row>14</xdr:row>
      <xdr:rowOff>39408</xdr:rowOff>
    </xdr:to>
    <xdr:cxnSp macro="">
      <xdr:nvCxnSpPr>
        <xdr:cNvPr id="1102" name="直線矢印コネクタ 1101"/>
        <xdr:cNvCxnSpPr>
          <a:stCxn id="1081" idx="6"/>
          <a:endCxn id="1082" idx="2"/>
        </xdr:cNvCxnSpPr>
      </xdr:nvCxnSpPr>
      <xdr:spPr>
        <a:xfrm>
          <a:off x="13083801" y="2582583"/>
          <a:ext cx="127000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114300</xdr:rowOff>
        </xdr:from>
        <xdr:to>
          <xdr:col>3</xdr:col>
          <xdr:colOff>866775</xdr:colOff>
          <xdr:row>0</xdr:row>
          <xdr:rowOff>476250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skListSheet"/>
  <dimension ref="A1:A16"/>
  <sheetViews>
    <sheetView workbookViewId="0">
      <selection activeCell="A4" sqref="A4"/>
    </sheetView>
  </sheetViews>
  <sheetFormatPr defaultRowHeight="13.5" x14ac:dyDescent="0.15"/>
  <cols>
    <col min="1" max="1" width="50.125" bestFit="1" customWidth="1"/>
  </cols>
  <sheetData>
    <row r="1" spans="1:1" s="2" customFormat="1" ht="42" x14ac:dyDescent="0.15">
      <c r="A1" s="1" t="s">
        <v>39</v>
      </c>
    </row>
    <row r="3" spans="1:1" x14ac:dyDescent="0.15">
      <c r="A3" s="3" t="s">
        <v>40</v>
      </c>
    </row>
    <row r="4" spans="1:1" x14ac:dyDescent="0.15">
      <c r="A4" t="s">
        <v>0</v>
      </c>
    </row>
    <row r="5" spans="1:1" x14ac:dyDescent="0.15">
      <c r="A5" t="s">
        <v>1</v>
      </c>
    </row>
    <row r="6" spans="1:1" x14ac:dyDescent="0.15">
      <c r="A6" t="s">
        <v>2</v>
      </c>
    </row>
    <row r="7" spans="1:1" x14ac:dyDescent="0.15">
      <c r="A7" t="s">
        <v>3</v>
      </c>
    </row>
    <row r="8" spans="1:1" x14ac:dyDescent="0.15">
      <c r="A8" t="s">
        <v>4</v>
      </c>
    </row>
    <row r="9" spans="1:1" x14ac:dyDescent="0.15">
      <c r="A9" t="s">
        <v>5</v>
      </c>
    </row>
    <row r="10" spans="1:1" x14ac:dyDescent="0.15">
      <c r="A10" t="s">
        <v>6</v>
      </c>
    </row>
    <row r="11" spans="1:1" x14ac:dyDescent="0.15">
      <c r="A11" t="s">
        <v>7</v>
      </c>
    </row>
    <row r="12" spans="1:1" x14ac:dyDescent="0.15">
      <c r="A12" t="s">
        <v>14</v>
      </c>
    </row>
    <row r="13" spans="1:1" x14ac:dyDescent="0.15">
      <c r="A13" t="s">
        <v>15</v>
      </c>
    </row>
    <row r="14" spans="1:1" x14ac:dyDescent="0.15">
      <c r="A14" t="s">
        <v>16</v>
      </c>
    </row>
    <row r="15" spans="1:1" x14ac:dyDescent="0.15">
      <c r="A15" t="s">
        <v>12</v>
      </c>
    </row>
    <row r="16" spans="1:1" x14ac:dyDescent="0.15">
      <c r="A16" t="s">
        <v>13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rawSheet"/>
  <dimension ref="A1:F9"/>
  <sheetViews>
    <sheetView showGridLines="0" zoomScale="85" zoomScaleNormal="85" workbookViewId="0">
      <pane ySplit="9" topLeftCell="A10" activePane="bottomLeft" state="frozen"/>
      <selection pane="bottomLeft" activeCell="A10" sqref="A10"/>
    </sheetView>
  </sheetViews>
  <sheetFormatPr defaultRowHeight="13.5" x14ac:dyDescent="0.15"/>
  <cols>
    <col min="1" max="1" width="25.375" customWidth="1"/>
    <col min="2" max="2" width="23.875" customWidth="1"/>
    <col min="3" max="3" width="46" customWidth="1"/>
    <col min="4" max="4" width="23.25" customWidth="1"/>
    <col min="5" max="5" width="22.625" customWidth="1"/>
    <col min="6" max="6" width="9" customWidth="1"/>
  </cols>
  <sheetData>
    <row r="1" spans="1:6" s="4" customFormat="1" ht="24.75" customHeight="1" x14ac:dyDescent="0.15">
      <c r="A1" s="7" t="s">
        <v>8</v>
      </c>
      <c r="B1" s="7" t="s">
        <v>9</v>
      </c>
      <c r="C1" s="7" t="s">
        <v>10</v>
      </c>
      <c r="D1" s="7" t="s">
        <v>41</v>
      </c>
      <c r="E1" s="7" t="s">
        <v>11</v>
      </c>
      <c r="F1" s="5"/>
    </row>
    <row r="2" spans="1:6" s="4" customFormat="1" x14ac:dyDescent="0.15">
      <c r="A2" s="6"/>
      <c r="B2" s="6"/>
      <c r="C2" s="6"/>
      <c r="D2" s="6"/>
      <c r="E2" s="6"/>
      <c r="F2" s="5"/>
    </row>
    <row r="3" spans="1:6" s="4" customFormat="1" x14ac:dyDescent="0.15">
      <c r="A3" s="6"/>
      <c r="B3" s="6"/>
      <c r="C3" s="6"/>
      <c r="D3" s="6"/>
      <c r="E3" s="6"/>
      <c r="F3" s="5"/>
    </row>
    <row r="4" spans="1:6" s="4" customFormat="1" x14ac:dyDescent="0.15">
      <c r="A4" s="6"/>
      <c r="B4" s="6"/>
      <c r="C4" s="6"/>
      <c r="D4" s="6"/>
      <c r="E4" s="6"/>
      <c r="F4" s="5"/>
    </row>
    <row r="5" spans="1:6" s="4" customFormat="1" x14ac:dyDescent="0.15">
      <c r="A5" s="6"/>
      <c r="B5" s="6"/>
      <c r="C5" s="6"/>
      <c r="D5" s="6"/>
      <c r="E5" s="6"/>
      <c r="F5" s="5"/>
    </row>
    <row r="6" spans="1:6" s="4" customFormat="1" x14ac:dyDescent="0.15">
      <c r="A6" s="6"/>
      <c r="B6" s="6"/>
      <c r="C6" s="6"/>
      <c r="D6" s="6"/>
      <c r="E6" s="6"/>
      <c r="F6" s="5"/>
    </row>
    <row r="7" spans="1:6" s="4" customFormat="1" x14ac:dyDescent="0.15">
      <c r="A7" s="6"/>
      <c r="B7" s="6"/>
      <c r="C7" s="6"/>
      <c r="D7" s="6"/>
      <c r="E7" s="6"/>
      <c r="F7" s="5"/>
    </row>
    <row r="8" spans="1:6" s="4" customFormat="1" x14ac:dyDescent="0.15">
      <c r="A8" s="6"/>
      <c r="B8" s="6"/>
      <c r="C8" s="6"/>
      <c r="D8" s="6"/>
      <c r="E8" s="6"/>
      <c r="F8" s="5"/>
    </row>
    <row r="9" spans="1:6" s="4" customFormat="1" x14ac:dyDescent="0.15">
      <c r="A9" s="6"/>
      <c r="B9" s="6"/>
      <c r="C9" s="6"/>
      <c r="D9" s="6"/>
      <c r="E9" s="6"/>
      <c r="F9" s="5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moveAllShapse">
                <anchor>
                  <from>
                    <xdr:col>4</xdr:col>
                    <xdr:colOff>171450</xdr:colOff>
                    <xdr:row>1</xdr:row>
                    <xdr:rowOff>76200</xdr:rowOff>
                  </from>
                  <to>
                    <xdr:col>4</xdr:col>
                    <xdr:colOff>1600200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estFeature">
                <anchor>
                  <from>
                    <xdr:col>0</xdr:col>
                    <xdr:colOff>295275</xdr:colOff>
                    <xdr:row>1</xdr:row>
                    <xdr:rowOff>85725</xdr:rowOff>
                  </from>
                  <to>
                    <xdr:col>0</xdr:col>
                    <xdr:colOff>1733550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OrderNodeVertical">
                <anchor>
                  <from>
                    <xdr:col>1</xdr:col>
                    <xdr:colOff>171450</xdr:colOff>
                    <xdr:row>1</xdr:row>
                    <xdr:rowOff>66675</xdr:rowOff>
                  </from>
                  <to>
                    <xdr:col>1</xdr:col>
                    <xdr:colOff>1600200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FindDisconnection">
                <anchor>
                  <from>
                    <xdr:col>2</xdr:col>
                    <xdr:colOff>1895475</xdr:colOff>
                    <xdr:row>1</xdr:row>
                    <xdr:rowOff>66675</xdr:rowOff>
                  </from>
                  <to>
                    <xdr:col>2</xdr:col>
                    <xdr:colOff>3333750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ConnectStreight">
                <anchor>
                  <from>
                    <xdr:col>2</xdr:col>
                    <xdr:colOff>209550</xdr:colOff>
                    <xdr:row>1</xdr:row>
                    <xdr:rowOff>66675</xdr:rowOff>
                  </from>
                  <to>
                    <xdr:col>2</xdr:col>
                    <xdr:colOff>1647825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nectSplit">
                <anchor>
                  <from>
                    <xdr:col>2</xdr:col>
                    <xdr:colOff>209550</xdr:colOff>
                    <xdr:row>5</xdr:row>
                    <xdr:rowOff>47625</xdr:rowOff>
                  </from>
                  <to>
                    <xdr:col>2</xdr:col>
                    <xdr:colOff>1647825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ConnectMarge">
                <anchor>
                  <from>
                    <xdr:col>2</xdr:col>
                    <xdr:colOff>1895475</xdr:colOff>
                    <xdr:row>5</xdr:row>
                    <xdr:rowOff>47625</xdr:rowOff>
                  </from>
                  <to>
                    <xdr:col>2</xdr:col>
                    <xdr:colOff>3333750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SwapNodeLocation">
                <anchor>
                  <from>
                    <xdr:col>1</xdr:col>
                    <xdr:colOff>171450</xdr:colOff>
                    <xdr:row>5</xdr:row>
                    <xdr:rowOff>47625</xdr:rowOff>
                  </from>
                  <to>
                    <xdr:col>1</xdr:col>
                    <xdr:colOff>1600200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RemoveConnections">
                <anchor>
                  <from>
                    <xdr:col>4</xdr:col>
                    <xdr:colOff>171450</xdr:colOff>
                    <xdr:row>5</xdr:row>
                    <xdr:rowOff>57150</xdr:rowOff>
                  </from>
                  <to>
                    <xdr:col>4</xdr:col>
                    <xdr:colOff>1600200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NumberingNodes">
                <anchor>
                  <from>
                    <xdr:col>3</xdr:col>
                    <xdr:colOff>171450</xdr:colOff>
                    <xdr:row>1</xdr:row>
                    <xdr:rowOff>85725</xdr:rowOff>
                  </from>
                  <to>
                    <xdr:col>3</xdr:col>
                    <xdr:colOff>1609725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DeNumberingAllNodes">
                <anchor>
                  <from>
                    <xdr:col>3</xdr:col>
                    <xdr:colOff>171450</xdr:colOff>
                    <xdr:row>5</xdr:row>
                    <xdr:rowOff>57150</xdr:rowOff>
                  </from>
                  <to>
                    <xdr:col>3</xdr:col>
                    <xdr:colOff>1609725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duleSheet"/>
  <dimension ref="A1:F18"/>
  <sheetViews>
    <sheetView tabSelected="1" workbookViewId="0"/>
  </sheetViews>
  <sheetFormatPr defaultRowHeight="13.5" x14ac:dyDescent="0.15"/>
  <cols>
    <col min="1" max="1" width="3.75" bestFit="1" customWidth="1"/>
    <col min="2" max="2" width="19.125" bestFit="1" customWidth="1"/>
    <col min="3" max="3" width="13.125" bestFit="1" customWidth="1"/>
    <col min="4" max="4" width="9.5" bestFit="1" customWidth="1"/>
    <col min="5" max="5" width="14.5" bestFit="1" customWidth="1"/>
    <col min="6" max="6" width="13.125" bestFit="1" customWidth="1"/>
  </cols>
  <sheetData>
    <row r="1" spans="1:6" s="10" customFormat="1" ht="42" x14ac:dyDescent="0.15">
      <c r="A1" s="9" t="s">
        <v>22</v>
      </c>
    </row>
    <row r="3" spans="1:6" x14ac:dyDescent="0.15">
      <c r="A3" s="3" t="s">
        <v>17</v>
      </c>
      <c r="B3" s="3" t="s">
        <v>18</v>
      </c>
      <c r="C3" s="3" t="s">
        <v>21</v>
      </c>
      <c r="D3" s="3" t="s">
        <v>38</v>
      </c>
      <c r="E3" s="3" t="s">
        <v>19</v>
      </c>
      <c r="F3" s="3" t="s">
        <v>20</v>
      </c>
    </row>
    <row r="4" spans="1:6" x14ac:dyDescent="0.15">
      <c r="A4">
        <v>0</v>
      </c>
      <c r="B4" t="s">
        <v>23</v>
      </c>
      <c r="D4">
        <v>1</v>
      </c>
      <c r="E4" s="8">
        <v>44344</v>
      </c>
      <c r="F4" s="8">
        <f>WORKDAY(E4,D4,Holidays!A:A)</f>
        <v>44347</v>
      </c>
    </row>
    <row r="5" spans="1:6" x14ac:dyDescent="0.15">
      <c r="A5">
        <v>1</v>
      </c>
      <c r="B5" t="s">
        <v>25</v>
      </c>
      <c r="C5">
        <v>0</v>
      </c>
      <c r="D5">
        <v>1</v>
      </c>
      <c r="E5" s="8">
        <f>WORKDAY(MAX(F4),1,Holidays!A:A)</f>
        <v>44348</v>
      </c>
      <c r="F5" s="8">
        <f>WORKDAY(E5,D5,Holidays!A:A)</f>
        <v>44349</v>
      </c>
    </row>
    <row r="6" spans="1:6" x14ac:dyDescent="0.15">
      <c r="A6">
        <v>2</v>
      </c>
      <c r="B6" t="s">
        <v>26</v>
      </c>
      <c r="C6">
        <v>0</v>
      </c>
      <c r="D6">
        <v>1</v>
      </c>
      <c r="E6" s="8">
        <f>WORKDAY(MAX(F4),1,Holidays!A:A)</f>
        <v>44348</v>
      </c>
      <c r="F6" s="8">
        <f>WORKDAY(E6,D6,Holidays!A:A)</f>
        <v>44349</v>
      </c>
    </row>
    <row r="7" spans="1:6" x14ac:dyDescent="0.15">
      <c r="A7">
        <v>3</v>
      </c>
      <c r="B7" t="s">
        <v>33</v>
      </c>
      <c r="C7">
        <v>0</v>
      </c>
      <c r="D7">
        <v>1</v>
      </c>
      <c r="E7" s="8">
        <f>WORKDAY(MAX(F4),1,Holidays!A:A)</f>
        <v>44348</v>
      </c>
      <c r="F7" s="8">
        <f>WORKDAY(E7,D7,Holidays!A:A)</f>
        <v>44349</v>
      </c>
    </row>
    <row r="8" spans="1:6" x14ac:dyDescent="0.15">
      <c r="A8">
        <v>4</v>
      </c>
      <c r="B8" t="s">
        <v>34</v>
      </c>
      <c r="C8">
        <v>0</v>
      </c>
      <c r="D8">
        <v>1</v>
      </c>
      <c r="E8" s="8">
        <f>WORKDAY(MAX(F4),1,Holidays!A:A)</f>
        <v>44348</v>
      </c>
      <c r="F8" s="8">
        <f>WORKDAY(E8,D8,Holidays!A:A)</f>
        <v>44349</v>
      </c>
    </row>
    <row r="9" spans="1:6" x14ac:dyDescent="0.15">
      <c r="A9">
        <v>5</v>
      </c>
      <c r="B9" t="s">
        <v>36</v>
      </c>
      <c r="C9">
        <v>1</v>
      </c>
      <c r="D9">
        <v>1</v>
      </c>
      <c r="E9" s="8">
        <f>WORKDAY(MAX(F5),1,Holidays!A:A)</f>
        <v>44350</v>
      </c>
      <c r="F9" s="8">
        <f>WORKDAY(E9,D9,Holidays!A:A)</f>
        <v>44351</v>
      </c>
    </row>
    <row r="10" spans="1:6" x14ac:dyDescent="0.15">
      <c r="A10">
        <v>6</v>
      </c>
      <c r="B10" t="s">
        <v>35</v>
      </c>
      <c r="C10">
        <v>2</v>
      </c>
      <c r="D10">
        <v>1</v>
      </c>
      <c r="E10" s="8">
        <f>WORKDAY(MAX(F6),1,Holidays!A:A)</f>
        <v>44350</v>
      </c>
      <c r="F10" s="8">
        <f>WORKDAY(E10,D10,Holidays!A:A)</f>
        <v>44351</v>
      </c>
    </row>
    <row r="11" spans="1:6" x14ac:dyDescent="0.15">
      <c r="A11">
        <v>7</v>
      </c>
      <c r="B11" t="s">
        <v>27</v>
      </c>
      <c r="C11" t="s">
        <v>42</v>
      </c>
      <c r="D11">
        <v>1</v>
      </c>
      <c r="E11" s="8">
        <f>WORKDAY(MAX(F7,F8),1,Holidays!A:A)</f>
        <v>44350</v>
      </c>
      <c r="F11" s="8">
        <f>WORKDAY(E11,D11,Holidays!A:A)</f>
        <v>44351</v>
      </c>
    </row>
    <row r="12" spans="1:6" x14ac:dyDescent="0.15">
      <c r="A12">
        <v>8</v>
      </c>
      <c r="B12" t="s">
        <v>24</v>
      </c>
      <c r="C12">
        <v>5</v>
      </c>
      <c r="D12">
        <v>1</v>
      </c>
      <c r="E12" s="8">
        <f>WORKDAY(MAX(F9),1,Holidays!A:A)</f>
        <v>44354</v>
      </c>
      <c r="F12" s="8">
        <f>WORKDAY(E12,D12,Holidays!A:A)</f>
        <v>44355</v>
      </c>
    </row>
    <row r="13" spans="1:6" x14ac:dyDescent="0.15">
      <c r="A13">
        <v>9</v>
      </c>
      <c r="B13" t="s">
        <v>29</v>
      </c>
      <c r="C13" t="s">
        <v>43</v>
      </c>
      <c r="D13">
        <v>1</v>
      </c>
      <c r="E13" s="8">
        <f>WORKDAY(MAX(F10,F11),1,Holidays!A:A)</f>
        <v>44354</v>
      </c>
      <c r="F13" s="8">
        <f>WORKDAY(E13,D13,Holidays!A:A)</f>
        <v>44355</v>
      </c>
    </row>
    <row r="14" spans="1:6" x14ac:dyDescent="0.15">
      <c r="A14">
        <v>10</v>
      </c>
      <c r="B14" t="s">
        <v>30</v>
      </c>
      <c r="C14" t="s">
        <v>44</v>
      </c>
      <c r="D14">
        <v>1</v>
      </c>
      <c r="E14" s="8">
        <f>WORKDAY(MAX(F12,F13),1,Holidays!A:A)</f>
        <v>44356</v>
      </c>
      <c r="F14" s="8">
        <f>WORKDAY(E14,D14,Holidays!A:A)</f>
        <v>44357</v>
      </c>
    </row>
    <row r="15" spans="1:6" x14ac:dyDescent="0.15">
      <c r="A15">
        <v>11</v>
      </c>
      <c r="B15" t="s">
        <v>31</v>
      </c>
      <c r="C15">
        <v>10</v>
      </c>
      <c r="D15">
        <v>1</v>
      </c>
      <c r="E15" s="8">
        <f>WORKDAY(MAX(F14),1,Holidays!A:A)</f>
        <v>44358</v>
      </c>
      <c r="F15" s="8">
        <f>WORKDAY(E15,D15,Holidays!A:A)</f>
        <v>44361</v>
      </c>
    </row>
    <row r="16" spans="1:6" x14ac:dyDescent="0.15">
      <c r="A16">
        <v>12</v>
      </c>
      <c r="B16" t="s">
        <v>32</v>
      </c>
      <c r="C16">
        <v>11</v>
      </c>
      <c r="D16">
        <v>1</v>
      </c>
      <c r="E16" s="8">
        <f>WORKDAY(MAX(F15),1,Holidays!A:A)</f>
        <v>44362</v>
      </c>
      <c r="F16" s="8">
        <f>WORKDAY(E16,D16,Holidays!A:A)</f>
        <v>44363</v>
      </c>
    </row>
    <row r="17" spans="1:6" x14ac:dyDescent="0.15">
      <c r="A17">
        <v>13</v>
      </c>
      <c r="B17" t="s">
        <v>28</v>
      </c>
      <c r="C17">
        <v>12</v>
      </c>
      <c r="D17">
        <v>1</v>
      </c>
      <c r="E17" s="8">
        <f>WORKDAY(MAX(F16),1,Holidays!A:A)</f>
        <v>44364</v>
      </c>
      <c r="F17" s="8">
        <f>WORKDAY(E17,D17,Holidays!A:A)</f>
        <v>44365</v>
      </c>
    </row>
    <row r="18" spans="1:6" x14ac:dyDescent="0.15">
      <c r="A18">
        <v>14</v>
      </c>
      <c r="B18" t="s">
        <v>37</v>
      </c>
      <c r="C18">
        <v>13</v>
      </c>
      <c r="D18">
        <v>1</v>
      </c>
      <c r="E18" s="8">
        <f>WORKDAY(MAX(F17),1,Holidays!A:A)</f>
        <v>44368</v>
      </c>
      <c r="F18" s="8">
        <f>WORKDAY(E18,D18,Holidays!A:A)</f>
        <v>44369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lotSchedule">
                <anchor moveWithCells="1" sizeWithCells="1">
                  <from>
                    <xdr:col>2</xdr:col>
                    <xdr:colOff>428625</xdr:colOff>
                    <xdr:row>0</xdr:row>
                    <xdr:rowOff>114300</xdr:rowOff>
                  </from>
                  <to>
                    <xdr:col>3</xdr:col>
                    <xdr:colOff>866775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lidaysSheet"/>
  <dimension ref="A1:A3"/>
  <sheetViews>
    <sheetView workbookViewId="0"/>
  </sheetViews>
  <sheetFormatPr defaultRowHeight="13.5" x14ac:dyDescent="0.15"/>
  <cols>
    <col min="1" max="1" width="10.5" bestFit="1" customWidth="1"/>
  </cols>
  <sheetData>
    <row r="1" spans="1:1" x14ac:dyDescent="0.15">
      <c r="A1" s="8">
        <v>44319</v>
      </c>
    </row>
    <row r="2" spans="1:1" x14ac:dyDescent="0.15">
      <c r="A2" s="8">
        <v>44320</v>
      </c>
    </row>
    <row r="3" spans="1:1" x14ac:dyDescent="0.15">
      <c r="A3" s="8">
        <v>44321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TaskList</vt:lpstr>
      <vt:lpstr>Draw</vt:lpstr>
      <vt:lpstr>Schedule</vt:lpstr>
      <vt:lpstr>Holidays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Takayuki Hommura</dc:creator>
  <cp:lastModifiedBy>Takayuki Hommura</cp:lastModifiedBy>
  <dcterms:created xsi:type="dcterms:W3CDTF">2021-05-22T03:26:50Z</dcterms:created>
  <dcterms:modified xsi:type="dcterms:W3CDTF">2021-05-27T15:45:02Z</dcterms:modified>
</cp:coreProperties>
</file>